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013c07411177c7/ドキュメント/"/>
    </mc:Choice>
  </mc:AlternateContent>
  <xr:revisionPtr revIDLastSave="262" documentId="8_{850E3D50-DEF8-4A16-96CD-884D4BC3ADC2}" xr6:coauthVersionLast="47" xr6:coauthVersionMax="47" xr10:uidLastSave="{15C61996-D479-4F0A-83FE-4A23CED52B38}"/>
  <bookViews>
    <workbookView xWindow="-108" yWindow="-108" windowWidth="23256" windowHeight="12456" activeTab="1" xr2:uid="{6F51EBC9-442C-4C54-8C1F-B8CC3B2BD1CD}"/>
  </bookViews>
  <sheets>
    <sheet name="visual analyze" sheetId="2" r:id="rId1"/>
    <sheet name="data Table" sheetId="1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  2_827eb212-8109-46fd-b2f0-32e2948b0b7c" name="Table1  2" connection="Query - Table1 (2)"/>
        </x15:modelTables>
        <x15:extLst>
          <ext xmlns:x16="http://schemas.microsoft.com/office/spreadsheetml/2014/11/main" uri="{9835A34E-60A6-4A7C-AAB8-D5F71C897F49}">
            <x16:modelTimeGroupings>
              <x16:modelTimeGrouping tableName="Table1  2" columnName="OrderDate" columnId="OrderDate"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P13" i="1"/>
  <c r="P11" i="1"/>
  <c r="P9" i="1"/>
  <c r="P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003AF-92DB-4C36-95C0-C454F00A7365}" name="Query - Table1 (2)" description="Connection to the 'Table1 (2)' query in the workbook." type="100" refreshedVersion="8" minRefreshableVersion="5">
    <extLst>
      <ext xmlns:x15="http://schemas.microsoft.com/office/spreadsheetml/2010/11/main" uri="{DE250136-89BD-433C-8126-D09CA5730AF9}">
        <x15:connection id="c398a0ea-41d4-4eab-bc02-455306096c32"/>
      </ext>
    </extLst>
  </connection>
  <connection id="2" xr16:uid="{BE899D43-9F14-4F0E-8FEB-A3D5B35604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<sst xmlns="http://schemas.openxmlformats.org/spreadsheetml/2006/main" count="213" uniqueCount="87">
  <si>
    <t>SaleID</t>
  </si>
  <si>
    <t>OrderDate</t>
  </si>
  <si>
    <t>ShipDate</t>
  </si>
  <si>
    <t>CustomerID</t>
  </si>
  <si>
    <t>CustomerName</t>
  </si>
  <si>
    <t>Product</t>
  </si>
  <si>
    <t>Category</t>
  </si>
  <si>
    <t>Region</t>
  </si>
  <si>
    <t>Qty</t>
  </si>
  <si>
    <t>Price</t>
  </si>
  <si>
    <t>Amount</t>
  </si>
  <si>
    <t>Profit</t>
  </si>
  <si>
    <t>C001</t>
  </si>
  <si>
    <t>Rahul</t>
  </si>
  <si>
    <t>Laptop</t>
  </si>
  <si>
    <t>Electronics</t>
  </si>
  <si>
    <t>East</t>
  </si>
  <si>
    <t>C002</t>
  </si>
  <si>
    <t>Priya</t>
  </si>
  <si>
    <t>Mouse</t>
  </si>
  <si>
    <t>West</t>
  </si>
  <si>
    <t>C003</t>
  </si>
  <si>
    <t>Amit</t>
  </si>
  <si>
    <t>Keyboard</t>
  </si>
  <si>
    <t>North</t>
  </si>
  <si>
    <t>C004</t>
  </si>
  <si>
    <t>Sneha</t>
  </si>
  <si>
    <t>Monitor</t>
  </si>
  <si>
    <t>South</t>
  </si>
  <si>
    <t>C005</t>
  </si>
  <si>
    <t>Arjun</t>
  </si>
  <si>
    <t>Chair</t>
  </si>
  <si>
    <t>Furniture</t>
  </si>
  <si>
    <t>Desk</t>
  </si>
  <si>
    <t>C006</t>
  </si>
  <si>
    <t>Neha</t>
  </si>
  <si>
    <t>C007</t>
  </si>
  <si>
    <t>Vikash</t>
  </si>
  <si>
    <t>Printer</t>
  </si>
  <si>
    <t>C008</t>
  </si>
  <si>
    <t>Anjali</t>
  </si>
  <si>
    <t>Table</t>
  </si>
  <si>
    <t>C009</t>
  </si>
  <si>
    <t>Rohit</t>
  </si>
  <si>
    <t>Headphones</t>
  </si>
  <si>
    <t>C010</t>
  </si>
  <si>
    <t>Karan</t>
  </si>
  <si>
    <t>MR AD</t>
  </si>
  <si>
    <t>Laptop generates the highest profit</t>
  </si>
  <si>
    <t>North  generates the highest profit</t>
  </si>
  <si>
    <t>Neha has made the highest purchase</t>
  </si>
  <si>
    <t>MR AD  generates the highest profit</t>
  </si>
  <si>
    <t>Mouse has the highest Quantity sold</t>
  </si>
  <si>
    <t>Row Labels</t>
  </si>
  <si>
    <t>Grand Total</t>
  </si>
  <si>
    <t>Sum of Amount</t>
  </si>
  <si>
    <t>Sales contribution in each Category</t>
  </si>
  <si>
    <t>Sum of Profit</t>
  </si>
  <si>
    <t>Profit contribution in each region</t>
  </si>
  <si>
    <t>Progit mergin for each category</t>
  </si>
  <si>
    <t>Sum of profit mergin</t>
  </si>
  <si>
    <t>profit mergin for each product</t>
  </si>
  <si>
    <t>Monthly sales trend</t>
  </si>
  <si>
    <t>Jan</t>
  </si>
  <si>
    <t>Feb</t>
  </si>
  <si>
    <t>Mar</t>
  </si>
  <si>
    <t>Monthly profit trends</t>
  </si>
  <si>
    <t>Highest Sales Month</t>
  </si>
  <si>
    <t>Highest Profit Month</t>
  </si>
  <si>
    <t>Top Five Products By Sales</t>
  </si>
  <si>
    <t>Top Five Customers</t>
  </si>
  <si>
    <t>Total Sales</t>
  </si>
  <si>
    <t>Total Sales Amount Goal</t>
  </si>
  <si>
    <t>Total Sales Amount</t>
  </si>
  <si>
    <t>Total Sales Amount Status</t>
  </si>
  <si>
    <t>Total profit</t>
  </si>
  <si>
    <t>Total Profit</t>
  </si>
  <si>
    <t>Total Profit Goal</t>
  </si>
  <si>
    <t>Total Profit Status</t>
  </si>
  <si>
    <t>Total Orders</t>
  </si>
  <si>
    <t>Total order</t>
  </si>
  <si>
    <t>Total order Goal</t>
  </si>
  <si>
    <t>Total order Status</t>
  </si>
  <si>
    <t>Total Quantity sold Status</t>
  </si>
  <si>
    <t>Total Quantity Sold</t>
  </si>
  <si>
    <t>Total Quantity sold</t>
  </si>
  <si>
    <t>Total Quantity sold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</si>
</sst>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" fontId="0" fillId="0" borderId="0" xfId="0" applyNumberFormat="1"/>
    <xf numFmtId="0" fontId="5" fillId="0" borderId="0" xfId="0" applyFont="1" applyAlignment="1">
      <alignment horizontal="left"/>
    </xf>
  </cellXfs>
  <cellStyles count="1">
    <cellStyle name="Normal" xfId="0" builtinId="0"/>
  </cellStyles>
  <dxfs count="14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3.xml"/><Relationship Id="rId21" Type="http://schemas.openxmlformats.org/officeDocument/2006/relationships/powerPivotData" Target="model/item.data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63" Type="http://schemas.openxmlformats.org/officeDocument/2006/relationships/customXml" Target="../customXml/item40.xml"/><Relationship Id="rId68" Type="http://schemas.openxmlformats.org/officeDocument/2006/relationships/customXml" Target="../customXml/item4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8" Type="http://schemas.openxmlformats.org/officeDocument/2006/relationships/customXml" Target="../customXml/item35.xml"/><Relationship Id="rId66" Type="http://schemas.openxmlformats.org/officeDocument/2006/relationships/customXml" Target="../customXml/item43.xml"/><Relationship Id="rId74" Type="http://schemas.openxmlformats.org/officeDocument/2006/relationships/customXml" Target="../customXml/item51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8.xml"/><Relationship Id="rId19" Type="http://schemas.openxmlformats.org/officeDocument/2006/relationships/styles" Target="styles.xml"/><Relationship Id="rId14" Type="http://schemas.openxmlformats.org/officeDocument/2006/relationships/pivotCacheDefinition" Target="pivotCache/pivotCacheDefinition12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56" Type="http://schemas.openxmlformats.org/officeDocument/2006/relationships/customXml" Target="../customXml/item33.xml"/><Relationship Id="rId64" Type="http://schemas.openxmlformats.org/officeDocument/2006/relationships/customXml" Target="../customXml/item41.xml"/><Relationship Id="rId69" Type="http://schemas.openxmlformats.org/officeDocument/2006/relationships/customXml" Target="../customXml/item46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8.xml"/><Relationship Id="rId72" Type="http://schemas.openxmlformats.org/officeDocument/2006/relationships/customXml" Target="../customXml/item4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59" Type="http://schemas.openxmlformats.org/officeDocument/2006/relationships/customXml" Target="../customXml/item36.xml"/><Relationship Id="rId67" Type="http://schemas.openxmlformats.org/officeDocument/2006/relationships/customXml" Target="../customXml/item44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62" Type="http://schemas.openxmlformats.org/officeDocument/2006/relationships/customXml" Target="../customXml/item39.xml"/><Relationship Id="rId70" Type="http://schemas.openxmlformats.org/officeDocument/2006/relationships/customXml" Target="../customXml/item4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57" Type="http://schemas.openxmlformats.org/officeDocument/2006/relationships/customXml" Target="../customXml/item34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60" Type="http://schemas.openxmlformats.org/officeDocument/2006/relationships/customXml" Target="../customXml/item37.xml"/><Relationship Id="rId65" Type="http://schemas.openxmlformats.org/officeDocument/2006/relationships/customXml" Target="../customXml/item42.xml"/><Relationship Id="rId73" Type="http://schemas.openxmlformats.org/officeDocument/2006/relationships/customXml" Target="../customXml/item5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39" Type="http://schemas.openxmlformats.org/officeDocument/2006/relationships/customXml" Target="../customXml/item16.xml"/><Relationship Id="rId34" Type="http://schemas.openxmlformats.org/officeDocument/2006/relationships/customXml" Target="../customXml/item11.xml"/><Relationship Id="rId50" Type="http://schemas.openxmlformats.org/officeDocument/2006/relationships/customXml" Target="../customXml/item27.xml"/><Relationship Id="rId55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4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2818033683289588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'visual analyze'!$B$3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 analyze'!$A$4:$A$6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'visual analyze'!$B$4:$B$6</c:f>
              <c:numCache>
                <c:formatCode>General</c:formatCode>
                <c:ptCount val="2"/>
                <c:pt idx="0">
                  <c:v>464000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0-494C-B157-8DADAD03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176016"/>
        <c:axId val="13720975"/>
      </c:barChart>
      <c:catAx>
        <c:axId val="170117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975"/>
        <c:crosses val="autoZero"/>
        <c:auto val="1"/>
        <c:lblAlgn val="ctr"/>
        <c:lblOffset val="100"/>
        <c:noMultiLvlLbl val="0"/>
      </c:catAx>
      <c:valAx>
        <c:axId val="137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7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1045494313212"/>
          <c:y val="0.2169885535141440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'visual analyze'!$J$5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BA-4230-ABDC-47D0BFDE3C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BA-4230-ABDC-47D0BFDE3C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BA-4230-ABDC-47D0BFDE3C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A-4230-ABDC-47D0BFDE3C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 analyze'!$I$6:$I$10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'visual analyze'!$J$6:$J$10</c:f>
              <c:numCache>
                <c:formatCode>General</c:formatCode>
                <c:ptCount val="4"/>
                <c:pt idx="0">
                  <c:v>36000</c:v>
                </c:pt>
                <c:pt idx="1">
                  <c:v>42500</c:v>
                </c:pt>
                <c:pt idx="2">
                  <c:v>21250</c:v>
                </c:pt>
                <c:pt idx="3">
                  <c:v>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3-4C7B-A790-C375C91CF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'visual analyze'!$B$33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9-45B4-9C78-4EBDFB8A7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9-45B4-9C78-4EBDFB8A7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 analyze'!$A$34:$A$36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'visual analyze'!$B$34:$B$36</c:f>
              <c:numCache>
                <c:formatCode>0</c:formatCode>
                <c:ptCount val="2"/>
                <c:pt idx="0">
                  <c:v>343.19245569245572</c:v>
                </c:pt>
                <c:pt idx="1">
                  <c:v>155.01400560224087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3-435C-A0C7-6AEFBC15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5400">
        <a:schemeClr val="accent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analyze'!$J$32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 analyze'!$I$33:$I$42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Printer</c:v>
                </c:pt>
                <c:pt idx="8">
                  <c:v>Table</c:v>
                </c:pt>
              </c:strCache>
            </c:strRef>
          </c:cat>
          <c:val>
            <c:numRef>
              <c:f>'visual analyze'!$J$33:$J$42</c:f>
              <c:numCache>
                <c:formatCode>0</c:formatCode>
                <c:ptCount val="9"/>
                <c:pt idx="0">
                  <c:v>51.666666666666671</c:v>
                </c:pt>
                <c:pt idx="1">
                  <c:v>50.490196078431367</c:v>
                </c:pt>
                <c:pt idx="2">
                  <c:v>59.166666666666671</c:v>
                </c:pt>
                <c:pt idx="3">
                  <c:v>65.476190476190482</c:v>
                </c:pt>
                <c:pt idx="4">
                  <c:v>62.488992488992487</c:v>
                </c:pt>
                <c:pt idx="5">
                  <c:v>47.727272727272727</c:v>
                </c:pt>
                <c:pt idx="6">
                  <c:v>60</c:v>
                </c:pt>
                <c:pt idx="7">
                  <c:v>48.333333333333329</c:v>
                </c:pt>
                <c:pt idx="8">
                  <c:v>52.857142857142861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B-4D02-B2DF-9E806227E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596927"/>
        <c:axId val="2014203727"/>
      </c:barChart>
      <c:catAx>
        <c:axId val="2036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03727"/>
        <c:crosses val="autoZero"/>
        <c:auto val="1"/>
        <c:lblAlgn val="ctr"/>
        <c:lblOffset val="100"/>
        <c:noMultiLvlLbl val="0"/>
      </c:catAx>
      <c:valAx>
        <c:axId val="20142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'visual analyze'!$S$6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'visual analyze'!$R$7:$R$10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 analyze'!$S$7:$S$10</c:f>
              <c:numCache>
                <c:formatCode>General</c:formatCode>
                <c:ptCount val="3"/>
                <c:pt idx="0">
                  <c:v>286500</c:v>
                </c:pt>
                <c:pt idx="1">
                  <c:v>283100</c:v>
                </c:pt>
                <c:pt idx="2">
                  <c:v>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D-41FB-A5A7-67E9A253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442879"/>
        <c:axId val="2014219087"/>
      </c:lineChart>
      <c:catAx>
        <c:axId val="203644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9087"/>
        <c:crosses val="autoZero"/>
        <c:auto val="1"/>
        <c:lblAlgn val="ctr"/>
        <c:lblOffset val="100"/>
        <c:noMultiLvlLbl val="0"/>
      </c:catAx>
      <c:valAx>
        <c:axId val="20142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4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[project.xlsx]visual analyze!PivotTable6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'visual analyze'!$S$32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'visual analyze'!$R$33:$R$36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'visual analyze'!$S$33:$S$36</c:f>
              <c:numCache>
                <c:formatCode>General</c:formatCode>
                <c:ptCount val="3"/>
                <c:pt idx="0">
                  <c:v>57800</c:v>
                </c:pt>
                <c:pt idx="1">
                  <c:v>56550</c:v>
                </c:pt>
                <c:pt idx="2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6-4088-B121-E368702A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481391"/>
        <c:axId val="2014233487"/>
      </c:lineChart>
      <c:catAx>
        <c:axId val="20364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33487"/>
        <c:crosses val="autoZero"/>
        <c:auto val="1"/>
        <c:lblAlgn val="ctr"/>
        <c:lblOffset val="100"/>
        <c:noMultiLvlLbl val="0"/>
      </c:catAx>
      <c:valAx>
        <c:axId val="20142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8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</xdr:rowOff>
    </xdr:from>
    <xdr:to>
      <xdr:col>4</xdr:col>
      <xdr:colOff>358140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C58CB-FE4C-71C8-875C-3AFC43292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9</xdr:row>
      <xdr:rowOff>163830</xdr:rowOff>
    </xdr:from>
    <xdr:to>
      <xdr:col>14</xdr:col>
      <xdr:colOff>472440</xdr:colOff>
      <xdr:row>24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9CE7A-A155-226F-1A7C-BA849DC34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19050</xdr:rowOff>
    </xdr:from>
    <xdr:to>
      <xdr:col>4</xdr:col>
      <xdr:colOff>160020</xdr:colOff>
      <xdr:row>51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53EBEB-AD85-1E9B-6251-39007AED6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41</xdr:row>
      <xdr:rowOff>156210</xdr:rowOff>
    </xdr:from>
    <xdr:to>
      <xdr:col>14</xdr:col>
      <xdr:colOff>449580</xdr:colOff>
      <xdr:row>55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5F1AA3-CD12-C76E-3385-B7CAD5D05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601980</xdr:colOff>
      <xdr:row>10</xdr:row>
      <xdr:rowOff>49530</xdr:rowOff>
    </xdr:from>
    <xdr:to>
      <xdr:col>23</xdr:col>
      <xdr:colOff>274320</xdr:colOff>
      <xdr:row>25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FA8A26-7831-3D36-D344-AA09C3496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</xdr:colOff>
      <xdr:row>36</xdr:row>
      <xdr:rowOff>34290</xdr:rowOff>
    </xdr:from>
    <xdr:to>
      <xdr:col>23</xdr:col>
      <xdr:colOff>457200</xdr:colOff>
      <xdr:row>51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E8D458-B371-2948-5AFD-3B016362B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2986112" backgroundQuery="1" createdVersion="8" refreshedVersion="8" minRefreshableVersion="3" recordCount="0" supportSubquery="1" supportAdvancedDrill="1" xr:uid="{810A9780-9238-472A-83DD-2733BDD3450C}">
  <cacheSource type="external" connectionId="2"/>
  <cacheFields count="3">
    <cacheField name="[Measures].[Total Sales Amount]" caption="Total Sales Amount" numFmtId="0" hierarchy="33" level="32767"/>
    <cacheField name="[Measures].[_Total Sales Amount Goal]" caption="_Total Sales Amount Goal" numFmtId="0" hierarchy="39" level="32767"/>
    <cacheField name="[Measures].[_Total Sales Amount Status]" caption="_Total Sales Amount Status" numFmtId="0" hierarchy="40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 oneField="1">
      <fieldsUsage count="1">
        <fieldUsage x="0"/>
      </fieldsUsage>
    </cacheHierarchy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oneField="1" hidden="1">
      <fieldsUsage count="1">
        <fieldUsage x="1"/>
      </fieldsUsage>
    </cacheHierarchy>
    <cacheHierarchy uniqueName="[Measures].[_Total Sales Amount Status]" caption="_Total Sales Amount Status" measure="1" iconSet="7" displayFolder="" measureGroup="Table1  2" count="0" oneField="1" hidden="1">
      <fieldsUsage count="1">
        <fieldUsage x="2"/>
      </fieldsUsage>
    </cacheHierarchy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4027775" backgroundQuery="1" createdVersion="8" refreshedVersion="8" minRefreshableVersion="3" recordCount="0" supportSubquery="1" supportAdvancedDrill="1" xr:uid="{7BB44425-742A-469F-8703-DCAFB48C5C46}">
  <cacheSource type="external" connectionId="2"/>
  <cacheFields count="2">
    <cacheField name="[Table1  2].[CustomerName].[CustomerName]" caption="CustomerName" numFmtId="0" hierarchy="4" level="1">
      <sharedItems count="5">
        <s v="Arjun"/>
        <s v="MR AD"/>
        <s v="Neha"/>
        <s v="Rahul"/>
        <s v="Rohit"/>
      </sharedItems>
    </cacheField>
    <cacheField name="[Measures].[Sum of Amount]" caption="Sum of Amount" numFmtId="0" hierarchy="19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2" memberValueDatatype="130" unbalanced="0">
      <fieldsUsage count="2">
        <fieldUsage x="-1"/>
        <fieldUsage x="0"/>
      </fieldsUsage>
    </cacheHierarchy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4953706" backgroundQuery="1" createdVersion="8" refreshedVersion="8" minRefreshableVersion="3" recordCount="0" supportSubquery="1" supportAdvancedDrill="1" xr:uid="{971EBF0A-956B-4CD8-862E-0D2F6E14EA10}">
  <cacheSource type="external" connectionId="2"/>
  <cacheFields count="2">
    <cacheField name="[Table1  2].[Product].[Product]" caption="Product" numFmtId="0" hierarchy="5" level="1">
      <sharedItems count="5">
        <s v="Chair"/>
        <s v="Desk"/>
        <s v="Laptop"/>
        <s v="Monitor"/>
        <s v="Printer"/>
      </sharedItems>
    </cacheField>
    <cacheField name="[Measures].[Sum of Amount]" caption="Sum of Amount" numFmtId="0" hierarchy="19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2" memberValueDatatype="130" unbalanced="0">
      <fieldsUsage count="2">
        <fieldUsage x="-1"/>
        <fieldUsage x="0"/>
      </fieldsUsage>
    </cacheHierarchy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6111114" backgroundQuery="1" createdVersion="8" refreshedVersion="8" minRefreshableVersion="3" recordCount="0" supportSubquery="1" supportAdvancedDrill="1" xr:uid="{FCDDD4EC-349D-412E-9305-ECBDB8BD5286}">
  <cacheSource type="external" connectionId="2"/>
  <cacheFields count="3">
    <cacheField name="[Table1  2].[OrderDate].[OrderDate]" caption="OrderDate" numFmtId="0" hierarchy="1" level="1">
      <sharedItems containsSemiMixedTypes="0" containsNonDate="0" containsDate="1" containsString="0" minDate="2026-01-01T00:00:00" maxDate="2026-03-03T00:00:00" count="2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0T00:00:00"/>
        <d v="2026-01-25T00:00:00"/>
        <d v="2026-01-28T00:00:00"/>
        <d v="2026-02-02T00:00:00"/>
        <d v="2026-02-05T00:00:00"/>
        <d v="2026-02-08T00:00:00"/>
        <d v="2026-02-12T00:00:00"/>
        <d v="2026-02-15T00:00:00"/>
        <d v="2026-02-18T00:00:00"/>
        <d v="2026-02-21T00:00:00"/>
        <d v="2026-02-24T00:00:00"/>
        <d v="2026-02-27T00:00:00"/>
        <d v="2026-03-02T00:00:00"/>
      </sharedItems>
    </cacheField>
    <cacheField name="[Table1  2].[OrderDate (Month)].[OrderDate (Month)]" caption="OrderDate (Month)" numFmtId="0" hierarchy="17" level="1">
      <sharedItems count="3">
        <s v="Jan"/>
        <s v="Feb"/>
        <s v="Mar"/>
      </sharedItems>
    </cacheField>
    <cacheField name="[Measures].[Sum of Profit]" caption="Sum of Profit" numFmtId="0" hierarchy="20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2" memberValueDatatype="7" unbalanced="0">
      <fieldsUsage count="2">
        <fieldUsage x="-1"/>
        <fieldUsage x="0"/>
      </fieldsUsage>
    </cacheHierarchy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7268515" backgroundQuery="1" createdVersion="8" refreshedVersion="8" minRefreshableVersion="3" recordCount="0" supportSubquery="1" supportAdvancedDrill="1" xr:uid="{4522CA3B-1093-4833-B1C5-C1F61BEE748E}">
  <cacheSource type="external" connectionId="2"/>
  <cacheFields count="3">
    <cacheField name="[Table1  2].[OrderDate].[OrderDate]" caption="OrderDate" numFmtId="0" hierarchy="1" level="1">
      <sharedItems containsSemiMixedTypes="0" containsNonDate="0" containsDate="1" containsString="0" minDate="2026-01-01T00:00:00" maxDate="2026-01-29T00:00:00" count="1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0T00:00:00"/>
        <d v="2026-01-25T00:00:00"/>
        <d v="2026-01-28T00:00:00"/>
      </sharedItems>
    </cacheField>
    <cacheField name="[Table1  2].[OrderDate (Month)].[OrderDate (Month)]" caption="OrderDate (Month)" numFmtId="0" hierarchy="17" level="1">
      <sharedItems count="3">
        <s v="Jan"/>
        <s v="Feb"/>
        <s v="Mar"/>
      </sharedItems>
    </cacheField>
    <cacheField name="[Measures].[Sum of Amount]" caption="Sum of Amount" numFmtId="0" hierarchy="19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2" memberValueDatatype="7" unbalanced="0">
      <fieldsUsage count="2">
        <fieldUsage x="-1"/>
        <fieldUsage x="0"/>
      </fieldsUsage>
    </cacheHierarchy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8194446" backgroundQuery="1" createdVersion="8" refreshedVersion="8" minRefreshableVersion="3" recordCount="0" supportSubquery="1" supportAdvancedDrill="1" xr:uid="{F9B46534-2372-4458-9180-FE83FAA9D2B2}">
  <cacheSource type="external" connectionId="2"/>
  <cacheFields count="3">
    <cacheField name="[Table1  2].[OrderDate].[OrderDate]" caption="OrderDate" numFmtId="0" hierarchy="1" level="1">
      <sharedItems containsSemiMixedTypes="0" containsNonDate="0" containsDate="1" containsString="0" minDate="2026-01-01T00:00:00" maxDate="2026-03-03T00:00:00" count="2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0T00:00:00"/>
        <d v="2026-01-25T00:00:00"/>
        <d v="2026-01-28T00:00:00"/>
        <d v="2026-02-02T00:00:00"/>
        <d v="2026-02-05T00:00:00"/>
        <d v="2026-02-08T00:00:00"/>
        <d v="2026-02-12T00:00:00"/>
        <d v="2026-02-15T00:00:00"/>
        <d v="2026-02-18T00:00:00"/>
        <d v="2026-02-21T00:00:00"/>
        <d v="2026-02-24T00:00:00"/>
        <d v="2026-02-27T00:00:00"/>
        <d v="2026-03-02T00:00:00"/>
      </sharedItems>
    </cacheField>
    <cacheField name="[Table1  2].[OrderDate (Month)].[OrderDate (Month)]" caption="OrderDate (Month)" numFmtId="0" hierarchy="17" level="1">
      <sharedItems count="3">
        <s v="Jan"/>
        <s v="Feb"/>
        <s v="Mar"/>
      </sharedItems>
    </cacheField>
    <cacheField name="[Measures].[Sum of Profit]" caption="Sum of Profit" numFmtId="0" hierarchy="20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2" memberValueDatatype="7" unbalanced="0">
      <fieldsUsage count="2">
        <fieldUsage x="-1"/>
        <fieldUsage x="0"/>
      </fieldsUsage>
    </cacheHierarchy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89236109" backgroundQuery="1" createdVersion="8" refreshedVersion="8" minRefreshableVersion="3" recordCount="0" supportSubquery="1" supportAdvancedDrill="1" xr:uid="{869B3F3F-1525-42E4-A2DF-DAC631E9A8A1}">
  <cacheSource type="external" connectionId="2"/>
  <cacheFields count="3">
    <cacheField name="[Table1  2].[OrderDate].[OrderDate]" caption="OrderDate" numFmtId="0" hierarchy="1" level="1">
      <sharedItems containsSemiMixedTypes="0" containsNonDate="0" containsDate="1" containsString="0" minDate="2026-01-01T00:00:00" maxDate="2026-03-03T00:00:00" count="2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0T00:00:00"/>
        <d v="2026-01-25T00:00:00"/>
        <d v="2026-01-28T00:00:00"/>
        <d v="2026-02-02T00:00:00"/>
        <d v="2026-02-05T00:00:00"/>
        <d v="2026-02-08T00:00:00"/>
        <d v="2026-02-12T00:00:00"/>
        <d v="2026-02-15T00:00:00"/>
        <d v="2026-02-18T00:00:00"/>
        <d v="2026-02-21T00:00:00"/>
        <d v="2026-02-24T00:00:00"/>
        <d v="2026-02-27T00:00:00"/>
        <d v="2026-03-02T00:00:00"/>
      </sharedItems>
    </cacheField>
    <cacheField name="[Table1  2].[OrderDate (Month)].[OrderDate (Month)]" caption="OrderDate (Month)" numFmtId="0" hierarchy="17" level="1">
      <sharedItems count="3">
        <s v="Jan"/>
        <s v="Feb"/>
        <s v="Mar"/>
      </sharedItems>
    </cacheField>
    <cacheField name="[Measures].[Sum of Amount]" caption="Sum of Amount" numFmtId="0" hierarchy="19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2" memberValueDatatype="7" unbalanced="0">
      <fieldsUsage count="2">
        <fieldUsage x="-1"/>
        <fieldUsage x="0"/>
      </fieldsUsage>
    </cacheHierarchy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0393517" backgroundQuery="1" createdVersion="8" refreshedVersion="8" minRefreshableVersion="3" recordCount="0" supportSubquery="1" supportAdvancedDrill="1" xr:uid="{E2B542E6-FFD5-431C-B7DE-D1DB8D3DCF3A}">
  <cacheSource type="external" connectionId="2"/>
  <cacheFields count="2">
    <cacheField name="[Table1  2].[Product].[Product]" caption="Product" numFmtId="0" hierarchy="5" level="1">
      <sharedItems count="9">
        <s v="Chair"/>
        <s v="Desk"/>
        <s v="Headphones"/>
        <s v="Keyboard"/>
        <s v="Laptop"/>
        <s v="Monitor"/>
        <s v="Mouse"/>
        <s v="Printer"/>
        <s v="Table"/>
      </sharedItems>
    </cacheField>
    <cacheField name="[Measures].[Sum of profit mergin]" caption="Sum of profit mergin" numFmtId="0" hierarchy="22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2" memberValueDatatype="130" unbalanced="0">
      <fieldsUsage count="2">
        <fieldUsage x="-1"/>
        <fieldUsage x="0"/>
      </fieldsUsage>
    </cacheHierarchy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1435187" backgroundQuery="1" createdVersion="8" refreshedVersion="8" minRefreshableVersion="3" recordCount="0" supportSubquery="1" supportAdvancedDrill="1" xr:uid="{60B83E68-BADD-45F7-9D28-E92E15143A26}">
  <cacheSource type="external" connectionId="2"/>
  <cacheFields count="2">
    <cacheField name="[Measures].[Sum of profit mergin]" caption="Sum of profit mergin" numFmtId="0" hierarchy="22" level="32767"/>
    <cacheField name="[Table1  2].[Category].[Category]" caption="Category" numFmtId="0" hierarchy="6" level="1">
      <sharedItems count="2">
        <s v="Electronics"/>
        <s v="Furniture"/>
      </sharedItems>
    </cacheField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2708334" backgroundQuery="1" createdVersion="8" refreshedVersion="8" minRefreshableVersion="3" recordCount="0" supportSubquery="1" supportAdvancedDrill="1" xr:uid="{61649531-542C-4DED-81F9-50D4B56BACFF}">
  <cacheSource type="external" connectionId="2"/>
  <cacheFields count="2">
    <cacheField name="[Measures].[Sum of Profit]" caption="Sum of Profit" numFmtId="0" hierarchy="20" level="32767"/>
    <cacheField name="[Table1  2].[Region].[Region]" caption="Region" numFmtId="0" hierarchy="7" level="1">
      <sharedItems count="4">
        <s v="East"/>
        <s v="North"/>
        <s v="South"/>
        <s v="West"/>
      </sharedItems>
    </cacheField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3634258" backgroundQuery="1" createdVersion="8" refreshedVersion="8" minRefreshableVersion="3" recordCount="0" supportSubquery="1" supportAdvancedDrill="1" xr:uid="{FE67A4FA-328E-411D-8F47-EDB596BBD5B3}">
  <cacheSource type="external" connectionId="2"/>
  <cacheFields count="2">
    <cacheField name="[Table1  2].[Category].[Category]" caption="Category" numFmtId="0" hierarchy="6" level="1">
      <sharedItems count="2">
        <s v="Electronics"/>
        <s v="Furniture"/>
      </sharedItems>
    </cacheField>
    <cacheField name="[Measures].[Sum of Amount]" caption="Sum of Amount" numFmtId="0" hierarchy="19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2" memberValueDatatype="130" unbalanced="0">
      <fieldsUsage count="2">
        <fieldUsage x="-1"/>
        <fieldUsage x="0"/>
      </fieldsUsage>
    </cacheHierarchy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4675928" backgroundQuery="1" createdVersion="8" refreshedVersion="8" minRefreshableVersion="3" recordCount="0" supportSubquery="1" supportAdvancedDrill="1" xr:uid="{4B0A3AAA-108E-4A6A-8A82-356DC4ABAFC8}">
  <cacheSource type="external" connectionId="2"/>
  <cacheFields count="3">
    <cacheField name="[Measures].[Total Profit]" caption="Total Profit" numFmtId="0" hierarchy="34" level="32767"/>
    <cacheField name="[Measures].[_Total Profit Goal]" caption="_Total Profit Goal" numFmtId="0" hierarchy="41" level="32767"/>
    <cacheField name="[Measures].[_Total Profit Status]" caption="_Total Profit Status" numFmtId="0" hierarchy="42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 oneField="1">
      <fieldsUsage count="1">
        <fieldUsage x="0"/>
      </fieldsUsage>
    </cacheHierarchy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oneField="1" hidden="1">
      <fieldsUsage count="1">
        <fieldUsage x="1"/>
      </fieldsUsage>
    </cacheHierarchy>
    <cacheHierarchy uniqueName="[Measures].[_Total Profit Status]" caption="_Total Profit Status" measure="1" iconSet="7" displayFolder="" measureGroup="Table1  2" count="0" oneField="1" hidden="1">
      <fieldsUsage count="1">
        <fieldUsage x="2"/>
      </fieldsUsage>
    </cacheHierarchy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hidden="1"/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0595486113" backgroundQuery="1" createdVersion="8" refreshedVersion="8" minRefreshableVersion="3" recordCount="0" supportSubquery="1" supportAdvancedDrill="1" xr:uid="{A2C5EC50-D4F8-4931-9279-DACF579532DA}">
  <cacheSource type="external" connectionId="2"/>
  <cacheFields count="4">
    <cacheField name="[Measures].[Total order]" caption="Total order" numFmtId="0" hierarchy="35" level="32767"/>
    <cacheField name="[Measures].[_Total order Goal]" caption="_Total order Goal" numFmtId="0" hierarchy="43" level="32767"/>
    <cacheField name="[Measures].[_Total order Status]" caption="_Total order Status" numFmtId="0" hierarchy="44" level="32767"/>
    <cacheField name="[Measures].[_Total Quantity sold Status]" caption="_Total Quantity sold Status" numFmtId="0" hierarchy="46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 oneField="1">
      <fieldsUsage count="1">
        <fieldUsage x="0"/>
      </fieldsUsage>
    </cacheHierarchy>
    <cacheHierarchy uniqueName="[Measures].[Total Quantity sold]" caption="Total Quantity sold" measure="1" displayFolder="" measureGroup="Table1  2" count="0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oneField="1" hidden="1">
      <fieldsUsage count="1">
        <fieldUsage x="1"/>
      </fieldsUsage>
    </cacheHierarchy>
    <cacheHierarchy uniqueName="[Measures].[_Total order Status]" caption="_Total order Status" measure="1" iconSet="7" displayFolder="" measureGroup="Table1  2" count="0" oneField="1" hidden="1">
      <fieldsUsage count="1">
        <fieldUsage x="2"/>
      </fieldsUsage>
    </cacheHierarchy>
    <cacheHierarchy uniqueName="[Measures].[_Total Quantity sold Goal]" caption="_Total Quantity sold Goal" measure="1" displayFolder="" measureGroup="Table1  2" count="0" hidden="1"/>
    <cacheHierarchy uniqueName="[Measures].[_Total Quantity sold Status]" caption="_Total Quantity sold Status" measure="1" iconSet="7" displayFolder="" measureGroup="Table1  2" count="0" oneField="1" hidden="1">
      <fieldsUsage count="1">
        <fieldUsage x="3"/>
      </fieldsUsage>
    </cacheHierarchy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N KAMILA" refreshedDate="46262.971137384258" backgroundQuery="1" createdVersion="8" refreshedVersion="8" minRefreshableVersion="3" recordCount="0" supportSubquery="1" supportAdvancedDrill="1" xr:uid="{B5313CF1-B5BC-4F84-9B31-A8A8F3B0F8C9}">
  <cacheSource type="external" connectionId="2"/>
  <cacheFields count="3">
    <cacheField name="[Measures].[Total Quantity sold]" caption="Total Quantity sold" numFmtId="0" hierarchy="36" level="32767"/>
    <cacheField name="[Measures].[_Total Quantity sold Goal]" caption="_Total Quantity sold Goal" numFmtId="0" hierarchy="45" level="32767"/>
    <cacheField name="[Measures].[_Total Quantity sold Status]" caption="_Total Quantity sold Status" numFmtId="0" hierarchy="46" level="32767"/>
  </cacheFields>
  <cacheHierarchies count="47">
    <cacheHierarchy uniqueName="[Table1  2].[SaleID]" caption="SaleID" attribute="1" defaultMemberUniqueName="[Table1  2].[SaleID].[All]" allUniqueName="[Table1  2].[SaleID].[All]" dimensionUniqueName="[Table1  2]" displayFolder="" count="0" memberValueDatatype="20" unbalanced="0"/>
    <cacheHierarchy uniqueName="[Table1  2].[OrderDate]" caption="OrderDate" attribute="1" time="1" defaultMemberUniqueName="[Table1  2].[OrderDate].[All]" allUniqueName="[Table1  2].[OrderDate].[All]" dimensionUniqueName="[Table1  2]" displayFolder="" count="0" memberValueDatatype="7" unbalanced="0"/>
    <cacheHierarchy uniqueName="[Table1  2].[ShipDate]" caption="ShipDate" attribute="1" time="1" defaultMemberUniqueName="[Table1  2].[ShipDate].[All]" allUniqueName="[Table1  2].[ShipDate].[All]" dimensionUniqueName="[Table1  2]" displayFolder="" count="0" memberValueDatatype="7" unbalanced="0"/>
    <cacheHierarchy uniqueName="[Table1  2].[CustomerID]" caption="CustomerID" attribute="1" defaultMemberUniqueName="[Table1  2].[CustomerID].[All]" allUniqueName="[Table1  2].[CustomerID].[All]" dimensionUniqueName="[Table1  2]" displayFolder="" count="0" memberValueDatatype="130" unbalanced="0"/>
    <cacheHierarchy uniqueName="[Table1  2].[CustomerName]" caption="CustomerName" attribute="1" defaultMemberUniqueName="[Table1  2].[CustomerName].[All]" allUniqueName="[Table1  2].[CustomerName].[All]" dimensionUniqueName="[Table1  2]" displayFolder="" count="0" memberValueDatatype="130" unbalanced="0"/>
    <cacheHierarchy uniqueName="[Table1  2].[Product]" caption="Product" attribute="1" defaultMemberUniqueName="[Table1  2].[Product].[All]" allUniqueName="[Table1  2].[Product].[All]" dimensionUniqueName="[Table1  2]" displayFolder="" count="0" memberValueDatatype="130" unbalanced="0"/>
    <cacheHierarchy uniqueName="[Table1  2].[Category]" caption="Category" attribute="1" defaultMemberUniqueName="[Table1  2].[Category].[All]" allUniqueName="[Table1  2].[Category].[All]" dimensionUniqueName="[Table1  2]" displayFolder="" count="0" memberValueDatatype="130" unbalanced="0"/>
    <cacheHierarchy uniqueName="[Table1  2].[Region]" caption="Region" attribute="1" defaultMemberUniqueName="[Table1  2].[Region].[All]" allUniqueName="[Table1  2].[Region].[All]" dimensionUniqueName="[Table1  2]" displayFolder="" count="0" memberValueDatatype="130" unbalanced="0"/>
    <cacheHierarchy uniqueName="[Table1  2].[Qty]" caption="Qty" attribute="1" defaultMemberUniqueName="[Table1  2].[Qty].[All]" allUniqueName="[Table1  2].[Qty].[All]" dimensionUniqueName="[Table1  2]" displayFolder="" count="0" memberValueDatatype="20" unbalanced="0"/>
    <cacheHierarchy uniqueName="[Table1  2].[Price]" caption="Price" attribute="1" defaultMemberUniqueName="[Table1  2].[Price].[All]" allUniqueName="[Table1  2].[Price].[All]" dimensionUniqueName="[Table1  2]" displayFolder="" count="0" memberValueDatatype="20" unbalanced="0"/>
    <cacheHierarchy uniqueName="[Table1  2].[Amount]" caption="Amount" attribute="1" defaultMemberUniqueName="[Table1  2].[Amount].[All]" allUniqueName="[Table1  2].[Amount].[All]" dimensionUniqueName="[Table1  2]" displayFolder="" count="0" memberValueDatatype="20" unbalanced="0"/>
    <cacheHierarchy uniqueName="[Table1  2].[Profit]" caption="Profit" attribute="1" defaultMemberUniqueName="[Table1  2].[Profit].[All]" allUniqueName="[Table1  2].[Profit].[All]" dimensionUniqueName="[Table1  2]" displayFolder="" count="0" memberValueDatatype="20" unbalanced="0"/>
    <cacheHierarchy uniqueName="[Table1  2].[Amount Status]" caption="Amount Status" attribute="1" defaultMemberUniqueName="[Table1  2].[Amount Status].[All]" allUniqueName="[Table1  2].[Amount Status].[All]" dimensionUniqueName="[Table1  2]" displayFolder="" count="0" memberValueDatatype="130" unbalanced="0"/>
    <cacheHierarchy uniqueName="[Table1  2].[Amount and Quantity Status]" caption="Amount and Quantity Status" attribute="1" defaultMemberUniqueName="[Table1  2].[Amount and Quantity Status].[All]" allUniqueName="[Table1  2].[Amount and Quantity Status].[All]" dimensionUniqueName="[Table1  2]" displayFolder="" count="0" memberValueDatatype="130" unbalanced="0"/>
    <cacheHierarchy uniqueName="[Table1  2].[Interval of delivery]" caption="Interval of delivery" attribute="1" defaultMemberUniqueName="[Table1  2].[Interval of delivery].[All]" allUniqueName="[Table1  2].[Interval of delivery].[All]" dimensionUniqueName="[Table1  2]" displayFolder="" count="0" memberValueDatatype="20" unbalanced="0"/>
    <cacheHierarchy uniqueName="[Table1  2].[profit mergin]" caption="profit mergin" attribute="1" defaultMemberUniqueName="[Table1  2].[profit mergin].[All]" allUniqueName="[Table1  2].[profit mergin].[All]" dimensionUniqueName="[Table1  2]" displayFolder="" count="0" memberValueDatatype="5" unbalanced="0"/>
    <cacheHierarchy uniqueName="[Table1  2].[Shipping Days]" caption="Shipping Days" attribute="1" defaultMemberUniqueName="[Table1  2].[Shipping Days].[All]" allUniqueName="[Table1  2].[Shipping Days].[All]" dimensionUniqueName="[Table1  2]" displayFolder="" count="0" memberValueDatatype="5" unbalanced="0"/>
    <cacheHierarchy uniqueName="[Table1  2].[OrderDate (Month)]" caption="OrderDate (Month)" attribute="1" defaultMemberUniqueName="[Table1  2].[OrderDate (Month)].[All]" allUniqueName="[Table1  2].[OrderDate (Month)].[All]" dimensionUniqueName="[Table1  2]" displayFolder="" count="0" memberValueDatatype="130" unbalanced="0"/>
    <cacheHierarchy uniqueName="[Table1  2].[OrderDate (Month Index)]" caption="OrderDate (Month Index)" attribute="1" defaultMemberUniqueName="[Table1  2].[OrderDate (Month Index)].[All]" allUniqueName="[Table1  2].[OrderDate (Month Index)].[All]" dimensionUniqueName="[Table1  2]" displayFolder="" count="0" memberValueDatatype="20" unbalanced="0" hidden="1"/>
    <cacheHierarchy uniqueName="[Measures].[Sum of Amount]" caption="Sum of Amount" measure="1" displayFolder="" measureGroup="Table1  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  2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tegory]" caption="Count of Category" measure="1" displayFolder="" measureGroup="Table1  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ofit mergin]" caption="Sum of profit mergin" measure="1" displayFolder="" measureGroup="Table1  2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Sales amount]" caption="Average Sales amount" measure="1" displayFolder="" measureGroup="Table1  2" count="0"/>
    <cacheHierarchy uniqueName="[Measures].[Minimum Sales Amount]" caption="Minimum Sales Amount" measure="1" displayFolder="" measureGroup="Table1  2" count="0"/>
    <cacheHierarchy uniqueName="[Measures].[Maximum Sales amount]" caption="Maximum Sales amount" measure="1" displayFolder="" measureGroup="Table1  2" count="0"/>
    <cacheHierarchy uniqueName="[Measures].[Product unique names]" caption="Product unique names" measure="1" displayFolder="" measureGroup="Table1  2" count="0"/>
    <cacheHierarchy uniqueName="[Measures].[Sum od product and Quantity products]" caption="Sum od product and Quantity products" measure="1" displayFolder="" measureGroup="Table1  2" count="0"/>
    <cacheHierarchy uniqueName="[Measures].[Measure 1]" caption="Measure 1" measure="1" displayFolder="" measureGroup="Table1  2" count="0"/>
    <cacheHierarchy uniqueName="[Measures].[Total sales Amount for East region]" caption="Total sales Amount for East region" measure="1" displayFolder="" measureGroup="Table1  2" count="0"/>
    <cacheHierarchy uniqueName="[Measures].[High sales]" caption="High sales" measure="1" displayFolder="" measureGroup="Table1  2" count="0"/>
    <cacheHierarchy uniqueName="[Measures].[average shipping days]" caption="average shipping days" measure="1" displayFolder="" measureGroup="Table1  2" count="0"/>
    <cacheHierarchy uniqueName="[Measures].[Longest time for shipping]" caption="Longest time for shipping" measure="1" displayFolder="" measureGroup="Table1  2" count="0"/>
    <cacheHierarchy uniqueName="[Measures].[Total Sales Amount]" caption="Total Sales Amount" measure="1" displayFolder="" measureGroup="Table1  2" count="0"/>
    <cacheHierarchy uniqueName="[Measures].[Total Profit]" caption="Total Profit" measure="1" displayFolder="" measureGroup="Table1  2" count="0"/>
    <cacheHierarchy uniqueName="[Measures].[Total order]" caption="Total order" measure="1" displayFolder="" measureGroup="Table1  2" count="0"/>
    <cacheHierarchy uniqueName="[Measures].[Total Quantity sold]" caption="Total Quantity sold" measure="1" displayFolder="" measureGroup="Table1  2" count="0" oneField="1">
      <fieldsUsage count="1">
        <fieldUsage x="0"/>
      </fieldsUsage>
    </cacheHierarchy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  <cacheHierarchy uniqueName="[Measures].[_Total Sales Amount Goal]" caption="_Total Sales Amount Goal" measure="1" displayFolder="" measureGroup="Table1  2" count="0" hidden="1"/>
    <cacheHierarchy uniqueName="[Measures].[_Total Sales Amount Status]" caption="_Total Sales Amount Status" measure="1" iconSet="7" displayFolder="" measureGroup="Table1  2" count="0" hidden="1"/>
    <cacheHierarchy uniqueName="[Measures].[_Total Profit Goal]" caption="_Total Profit Goal" measure="1" displayFolder="" measureGroup="Table1  2" count="0" hidden="1"/>
    <cacheHierarchy uniqueName="[Measures].[_Total Profit Status]" caption="_Total Profit Status" measure="1" iconSet="7" displayFolder="" measureGroup="Table1  2" count="0" hidden="1"/>
    <cacheHierarchy uniqueName="[Measures].[_Total order Goal]" caption="_Total order Goal" measure="1" displayFolder="" measureGroup="Table1  2" count="0" hidden="1"/>
    <cacheHierarchy uniqueName="[Measures].[_Total order Status]" caption="_Total order Status" measure="1" iconSet="7" displayFolder="" measureGroup="Table1  2" count="0" hidden="1"/>
    <cacheHierarchy uniqueName="[Measures].[_Total Quantity sold Goal]" caption="_Total Quantity sold Goal" measure="1" displayFolder="" measureGroup="Table1  2" count="0" oneField="1" hidden="1">
      <fieldsUsage count="1">
        <fieldUsage x="1"/>
      </fieldsUsage>
    </cacheHierarchy>
    <cacheHierarchy uniqueName="[Measures].[_Total Quantity sold Status]" caption="_Total Quantity sold Status" measure="1" iconSet="7" displayFolder="" measureGroup="Table1  2" count="0" oneField="1" hidden="1">
      <fieldsUsage count="1">
        <fieldUsage x="2"/>
      </fieldsUsage>
    </cacheHierarchy>
  </cacheHierarchies>
  <kpis count="4">
    <kpi uniqueName="Total Sales Amount" caption="Total Sales Amount" displayFolder="" measureGroup="Table1  2" parent="" value="[Measures].[Total Sales Amount]" goal="[Measures].[_Total Sales Amount Goal]" status="[Measures].[_Total Sales Amount Status]" trend="" weight=""/>
    <kpi uniqueName="Total Profit" caption="Total Profit" displayFolder="" measureGroup="Table1  2" parent="" value="[Measures].[Total Profit]" goal="[Measures].[_Total Profit Goal]" status="[Measures].[_Total Profit Status]" trend="" weight=""/>
    <kpi uniqueName="Total order" caption="Total order" displayFolder="" measureGroup="Table1  2" parent="" value="[Measures].[Total order]" goal="[Measures].[_Total order Goal]" status="[Measures].[_Total order Status]" trend="" weight=""/>
    <kpi uniqueName="Total Quantity sold" caption="Total Quantity sold" displayFolder="" measureGroup="Table1  2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  2" uniqueName="[Table1  2]" caption="Table1  2"/>
  </dimensions>
  <measureGroups count="1">
    <measureGroup name="Table1  2" caption="Table1 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3B401-6648-4B9C-BAA1-D067F1D8CB22}" name="PivotTable6" cacheId="5" applyNumberFormats="0" applyBorderFormats="0" applyFontFormats="0" applyPatternFormats="0" applyAlignmentFormats="0" applyWidthHeightFormats="1" dataCaption="Values" tag="dff575ed-89bc-48c7-be71-9a3c7c8da165" updatedVersion="8" minRefreshableVersion="3" useAutoFormatting="1" itemPrintTitles="1" createdVersion="8" indent="0" outline="1" outlineData="1" multipleFieldFilters="0" chartFormat="1">
  <location ref="R32:S36" firstHeaderRow="1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079E-0D1D-47D6-9378-E89E9D7B3ECA}" name="PivotTable11" cacheId="0" applyNumberFormats="0" applyBorderFormats="0" applyFontFormats="0" applyPatternFormats="0" applyAlignmentFormats="0" applyWidthHeightFormats="1" dataCaption="Values" tag="030c9748-2982-4e5b-8db1-949a8d3f893c" updatedVersion="8" minRefreshableVersion="3" useAutoFormatting="1" itemPrintTitles="1" createdVersion="8" indent="0" outline="1" outlineData="1" multipleFieldFilters="0">
  <location ref="AC6:AE7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 Amount" fld="0" subtotal="count" baseField="0" baseItem="0"/>
    <dataField name="Total Sales Amount Goal" fld="1" subtotal="count" baseField="0" baseItem="0"/>
    <dataField name="Total Sales Amount Status" fld="2" subtotal="count" baseField="0" baseItem="0"/>
  </dataFields>
  <conditionalFormats count="1">
    <conditionalFormat scope="data" priority="4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2A04D-08F3-4DC9-B524-19CBBED7DFB1}" name="PivotTable5" cacheId="6" applyNumberFormats="0" applyBorderFormats="0" applyFontFormats="0" applyPatternFormats="0" applyAlignmentFormats="0" applyWidthHeightFormats="1" dataCaption="Values" tag="ce48a05d-fea0-4ee1-a6af-2857c27219f1" updatedVersion="8" minRefreshableVersion="3" useAutoFormatting="1" itemPrintTitles="1" createdVersion="8" indent="0" outline="1" outlineData="1" multipleFieldFilters="0" chartFormat="1">
  <location ref="R6:S10" firstHeaderRow="1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8B54B-62CF-48EF-B0F5-619E3E29A1FA}" name="PivotTable10" cacheId="1" applyNumberFormats="0" applyBorderFormats="0" applyFontFormats="0" applyPatternFormats="0" applyAlignmentFormats="0" applyWidthHeightFormats="1" dataCaption="Values" tag="4816ce4f-0304-48cc-af86-f0c62d46e7c8" updatedVersion="8" minRefreshableVersion="3" useAutoFormatting="1" itemPrintTitles="1" createdVersion="8" indent="0" outline="1" outlineData="1" multipleFieldFilters="0">
  <location ref="Z39:AA45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E4F6E-6C5E-4FA0-BB8C-83660220C157}" name="PivotTable4" cacheId="7" applyNumberFormats="0" applyBorderFormats="0" applyFontFormats="0" applyPatternFormats="0" applyAlignmentFormats="0" applyWidthHeightFormats="1" dataCaption="Values" tag="c6b8f168-0980-4e4d-87bb-2c6d75dd1eb1" updatedVersion="8" minRefreshableVersion="3" useAutoFormatting="1" itemPrintTitles="1" createdVersion="8" indent="0" outline="1" outlineData="1" multipleFieldFilters="0" chartFormat="1">
  <location ref="I32:J42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 mergi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C552-3BAE-4F66-B7C9-C21B86B931AA}" name="PivotTable9" cacheId="2" applyNumberFormats="0" applyBorderFormats="0" applyFontFormats="0" applyPatternFormats="0" applyAlignmentFormats="0" applyWidthHeightFormats="1" dataCaption="Values" tag="fcaa19d2-9d33-4bd3-ad83-6fa7dbea5683" updatedVersion="8" minRefreshableVersion="3" useAutoFormatting="1" itemPrintTitles="1" createdVersion="8" indent="0" outline="1" outlineData="1" multipleFieldFilters="0">
  <location ref="Z24:AA30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2" iMeasureHier="19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04EB1-0983-428F-8C2E-5690DE301E93}" name="PivotTable14" cacheId="13" applyNumberFormats="0" applyBorderFormats="0" applyFontFormats="0" applyPatternFormats="0" applyAlignmentFormats="0" applyWidthHeightFormats="1" dataCaption="Values" tag="e1b4841b-1692-4bdc-88a2-36047d21a870" updatedVersion="8" minRefreshableVersion="3" useAutoFormatting="1" itemPrintTitles="1" createdVersion="8" indent="0" outline="1" outlineData="1" multipleFieldFilters="0">
  <location ref="AC18:AE19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Quantity sold" fld="0" subtotal="count" baseField="0" baseItem="0"/>
    <dataField name="Total Quantity sold Goal" fld="1" subtotal="count" baseField="0" baseItem="0"/>
    <dataField name="Total Quantity sold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88E87-9276-4CE2-9D5A-E11167437B3B}" name="PivotTable13" cacheId="12" applyNumberFormats="0" applyBorderFormats="0" applyFontFormats="0" applyPatternFormats="0" applyAlignmentFormats="0" applyWidthHeightFormats="1" dataCaption="Values" tag="8fd8017a-ff21-4e11-bc6b-98c7c9e69734" updatedVersion="8" minRefreshableVersion="3" useAutoFormatting="1" itemPrintTitles="1" createdVersion="8" indent="0" outline="1" outlineData="1" multipleFieldFilters="0">
  <location ref="AC14:AF1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" fld="0" subtotal="count" baseField="0" baseItem="0"/>
    <dataField name="Total order Goal" fld="1" subtotal="count" baseField="0" baseItem="0"/>
    <dataField name="Total order Status" fld="2" subtotal="count" baseField="0" baseItem="0"/>
    <dataField name="Total Quantity sold Status" fld="3" subtotal="count" baseField="0" baseItem="0"/>
  </dataField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F032A-00E6-4DA2-95FB-14A74E0B60FE}" name="PivotTable3" cacheId="8" applyNumberFormats="0" applyBorderFormats="0" applyFontFormats="0" applyPatternFormats="0" applyAlignmentFormats="0" applyWidthHeightFormats="1" dataCaption="Values" tag="f6b6ddbe-ad4d-4265-8fde-3e3db68795f2" updatedVersion="8" minRefreshableVersion="3" useAutoFormatting="1" itemPrintTitles="1" createdVersion="8" indent="0" outline="1" outlineData="1" multipleFieldFilters="0" chartFormat="1">
  <location ref="A33:B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rofit mergin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8C8CD-99DA-4F5E-AB38-0CAA7A31D8A1}" name="PivotTable8" cacheId="3" applyNumberFormats="0" applyBorderFormats="0" applyFontFormats="0" applyPatternFormats="0" applyAlignmentFormats="0" applyWidthHeightFormats="1" dataCaption="Values" tag="06aa3f55-064a-4b86-9256-7ecec6c08afc" updatedVersion="8" minRefreshableVersion="3" useAutoFormatting="1" itemPrintTitles="1" createdVersion="8" indent="0" outline="1" outlineData="1" multipleFieldFilters="0">
  <location ref="Z14:AA18" firstHeaderRow="1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sortType="de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2DCB8-45CE-4183-8FCF-1E3D0FFE478D}" name="PivotTable12" cacheId="11" applyNumberFormats="0" applyBorderFormats="0" applyFontFormats="0" applyPatternFormats="0" applyAlignmentFormats="0" applyWidthHeightFormats="1" dataCaption="Values" tag="148532a4-e3a2-4bd9-bc3b-234acc13c972" updatedVersion="8" minRefreshableVersion="3" useAutoFormatting="1" itemPrintTitles="1" createdVersion="8" indent="0" outline="1" outlineData="1" multipleFieldFilters="0">
  <location ref="AC10:AE11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Profit" fld="0" subtotal="count" baseField="0" baseItem="0"/>
    <dataField name="Total Profit Goal" fld="1" subtotal="count" baseField="0" baseItem="0"/>
    <dataField name="Total Profit Status" fld="2" subtotal="count" baseField="0" baseItem="0"/>
  </dataFields>
  <conditionalFormats count="1">
    <conditionalFormat scope="data" priority="3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DACAA-9704-4950-81E1-93FC0FB43729}" name="PivotTable2" cacheId="9" applyNumberFormats="0" applyBorderFormats="0" applyFontFormats="0" applyPatternFormats="0" applyAlignmentFormats="0" applyWidthHeightFormats="1" dataCaption="Values" tag="53bb5859-0a61-4015-a5b0-8d641baf2a98" updatedVersion="8" minRefreshableVersion="3" useAutoFormatting="1" itemPrintTitles="1" createdVersion="8" indent="0" outline="1" outlineData="1" multipleFieldFilters="0" chartFormat="4">
  <location ref="I5:J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0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CABB7-5788-4829-B8D1-471879166EA9}" name="PivotTable7" cacheId="4" applyNumberFormats="0" applyBorderFormats="0" applyFontFormats="0" applyPatternFormats="0" applyAlignmentFormats="0" applyWidthHeightFormats="1" dataCaption="Values" tag="683ec7b8-bdcb-4cd4-a4fe-9fca1efc1749" updatedVersion="8" minRefreshableVersion="3" useAutoFormatting="1" itemPrintTitles="1" createdVersion="8" indent="0" outline="1" outlineData="1" multipleFieldFilters="0" chartFormat="2">
  <location ref="Z6:AA10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de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4E0C5-0641-4721-8DAC-E377A7EE0502}" name="PivotTable1" cacheId="10" applyNumberFormats="0" applyBorderFormats="0" applyFontFormats="0" applyPatternFormats="0" applyAlignmentFormats="0" applyWidthHeightFormats="1" dataCaption="Values" tag="4127360d-63bc-4d31-b4b3-76cb5f30180d" updatedVersion="8" minRefreshableVersion="3" itemPrintTitles="1" createdVersion="8" indent="0" outline="1" outlineData="1" multipleFieldFilters="0" chartFormat="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F39EF-07B1-4638-AD57-E9A97D694BBD}" name="Table1" displayName="Table1" ref="A1:L21" totalsRowShown="0" headerRowDxfId="13" dataDxfId="12">
  <autoFilter ref="A1:L21" xr:uid="{B3EF39EF-07B1-4638-AD57-E9A97D694BBD}"/>
  <tableColumns count="12">
    <tableColumn id="1" xr3:uid="{5B5C8B47-BF65-40CD-A729-0D2544A7EA2F}" name="SaleID" dataDxfId="11"/>
    <tableColumn id="2" xr3:uid="{7B8CEE93-FFA6-4019-9A45-578D6ED964BB}" name="OrderDate" dataDxfId="10"/>
    <tableColumn id="3" xr3:uid="{CB8D1E2B-84AC-4A20-8907-9F671F6DD318}" name="ShipDate" dataDxfId="9"/>
    <tableColumn id="4" xr3:uid="{A267EC43-EBD9-4800-8A8C-ACCF2AE6284B}" name="CustomerID" dataDxfId="8"/>
    <tableColumn id="5" xr3:uid="{65DEF095-F972-43AF-8240-65838701C144}" name="CustomerName" dataDxfId="7"/>
    <tableColumn id="6" xr3:uid="{E8AFF660-E550-4DA3-A240-42522F9B6776}" name="Product" dataDxfId="6"/>
    <tableColumn id="7" xr3:uid="{6FC1410E-DAB9-4DCB-AF8A-A7517C43E7C3}" name="Category" dataDxfId="5"/>
    <tableColumn id="8" xr3:uid="{D0F10AC3-DAD6-4889-9771-77AFC2633948}" name="Region" dataDxfId="4"/>
    <tableColumn id="9" xr3:uid="{3306DD3D-F231-46FB-871E-0D3F1203642C}" name="Qty" dataDxfId="3"/>
    <tableColumn id="10" xr3:uid="{B359B16B-EA97-427C-8820-5C34E8E8B037}" name="Price" dataDxfId="2"/>
    <tableColumn id="11" xr3:uid="{4664E6A3-7127-4759-8FF0-FFD5BAB30B99}" name="Amount" dataDxfId="1"/>
    <tableColumn id="12" xr3:uid="{8B18CAD7-7AAE-4302-8D8C-F283CDA58751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2506-CC7E-4A6A-A441-CD769B299AAF}">
  <dimension ref="A1:AF45"/>
  <sheetViews>
    <sheetView zoomScale="60" workbookViewId="0">
      <selection activeCell="AE31" sqref="AE31"/>
    </sheetView>
  </sheetViews>
  <sheetFormatPr defaultRowHeight="14.4" x14ac:dyDescent="0.3"/>
  <cols>
    <col min="1" max="1" width="12.5546875" bestFit="1" customWidth="1"/>
    <col min="2" max="2" width="18.6640625" bestFit="1" customWidth="1"/>
    <col min="9" max="9" width="12.5546875" bestFit="1" customWidth="1"/>
    <col min="10" max="10" width="12.109375" bestFit="1" customWidth="1"/>
    <col min="18" max="18" width="12.5546875" bestFit="1" customWidth="1"/>
    <col min="19" max="19" width="14.44140625" bestFit="1" customWidth="1"/>
    <col min="26" max="26" width="12.5546875" bestFit="1" customWidth="1"/>
    <col min="27" max="27" width="14.44140625" bestFit="1" customWidth="1"/>
    <col min="29" max="29" width="17" bestFit="1" customWidth="1"/>
    <col min="30" max="30" width="21.44140625" bestFit="1" customWidth="1"/>
    <col min="31" max="32" width="22.88671875" bestFit="1" customWidth="1"/>
  </cols>
  <sheetData>
    <row r="1" spans="1:32" ht="18" x14ac:dyDescent="0.35">
      <c r="A1" s="7" t="s">
        <v>56</v>
      </c>
    </row>
    <row r="2" spans="1:32" ht="18" x14ac:dyDescent="0.35">
      <c r="A2" s="7"/>
      <c r="B2" s="7"/>
    </row>
    <row r="3" spans="1:32" ht="18" x14ac:dyDescent="0.35">
      <c r="A3" s="9" t="s">
        <v>53</v>
      </c>
      <c r="B3" t="s">
        <v>55</v>
      </c>
      <c r="I3" s="11" t="s">
        <v>58</v>
      </c>
      <c r="J3" s="11"/>
      <c r="K3" s="11"/>
    </row>
    <row r="4" spans="1:32" ht="18" x14ac:dyDescent="0.35">
      <c r="A4" s="10" t="s">
        <v>15</v>
      </c>
      <c r="B4">
        <v>464000</v>
      </c>
      <c r="R4" s="11" t="s">
        <v>62</v>
      </c>
      <c r="S4" s="11"/>
      <c r="Z4" s="11" t="s">
        <v>67</v>
      </c>
      <c r="AA4" s="11"/>
      <c r="AC4" s="11" t="s">
        <v>71</v>
      </c>
    </row>
    <row r="5" spans="1:32" x14ac:dyDescent="0.3">
      <c r="A5" s="10" t="s">
        <v>32</v>
      </c>
      <c r="B5">
        <v>120000</v>
      </c>
      <c r="I5" s="9" t="s">
        <v>53</v>
      </c>
      <c r="J5" t="s">
        <v>57</v>
      </c>
    </row>
    <row r="6" spans="1:32" x14ac:dyDescent="0.3">
      <c r="A6" s="10" t="s">
        <v>54</v>
      </c>
      <c r="B6">
        <v>584000</v>
      </c>
      <c r="I6" s="10" t="s">
        <v>16</v>
      </c>
      <c r="J6">
        <v>36000</v>
      </c>
      <c r="R6" s="9" t="s">
        <v>53</v>
      </c>
      <c r="S6" t="s">
        <v>55</v>
      </c>
      <c r="Z6" s="9" t="s">
        <v>53</v>
      </c>
      <c r="AA6" t="s">
        <v>55</v>
      </c>
      <c r="AC6" t="s">
        <v>73</v>
      </c>
      <c r="AD6" t="s">
        <v>72</v>
      </c>
      <c r="AE6" t="s">
        <v>74</v>
      </c>
    </row>
    <row r="7" spans="1:32" x14ac:dyDescent="0.3">
      <c r="I7" s="10" t="s">
        <v>24</v>
      </c>
      <c r="J7">
        <v>42500</v>
      </c>
      <c r="R7" s="10" t="s">
        <v>63</v>
      </c>
      <c r="S7">
        <v>286500</v>
      </c>
      <c r="Z7" s="10" t="s">
        <v>63</v>
      </c>
      <c r="AA7">
        <v>286500</v>
      </c>
      <c r="AC7">
        <v>584000</v>
      </c>
      <c r="AD7">
        <v>700000</v>
      </c>
      <c r="AE7">
        <v>1</v>
      </c>
    </row>
    <row r="8" spans="1:32" x14ac:dyDescent="0.3">
      <c r="I8" s="10" t="s">
        <v>28</v>
      </c>
      <c r="J8">
        <v>21250</v>
      </c>
      <c r="R8" s="10" t="s">
        <v>64</v>
      </c>
      <c r="S8">
        <v>283100</v>
      </c>
      <c r="Z8" s="10" t="s">
        <v>64</v>
      </c>
      <c r="AA8">
        <v>283100</v>
      </c>
    </row>
    <row r="9" spans="1:32" ht="18" x14ac:dyDescent="0.35">
      <c r="I9" s="10" t="s">
        <v>20</v>
      </c>
      <c r="J9">
        <v>18800</v>
      </c>
      <c r="R9" s="10" t="s">
        <v>65</v>
      </c>
      <c r="S9">
        <v>14400</v>
      </c>
      <c r="Z9" s="10" t="s">
        <v>65</v>
      </c>
      <c r="AA9">
        <v>14400</v>
      </c>
      <c r="AC9" s="11" t="s">
        <v>75</v>
      </c>
    </row>
    <row r="10" spans="1:32" x14ac:dyDescent="0.3">
      <c r="I10" s="10" t="s">
        <v>54</v>
      </c>
      <c r="J10">
        <v>118550</v>
      </c>
      <c r="R10" s="10" t="s">
        <v>54</v>
      </c>
      <c r="S10">
        <v>584000</v>
      </c>
      <c r="Z10" s="10" t="s">
        <v>54</v>
      </c>
      <c r="AA10">
        <v>584000</v>
      </c>
      <c r="AC10" t="s">
        <v>76</v>
      </c>
      <c r="AD10" t="s">
        <v>77</v>
      </c>
      <c r="AE10" t="s">
        <v>78</v>
      </c>
    </row>
    <row r="11" spans="1:32" x14ac:dyDescent="0.3">
      <c r="AC11">
        <v>118550</v>
      </c>
      <c r="AD11">
        <v>40000</v>
      </c>
      <c r="AE11">
        <v>1</v>
      </c>
    </row>
    <row r="12" spans="1:32" ht="18" x14ac:dyDescent="0.35">
      <c r="Z12" s="13" t="s">
        <v>68</v>
      </c>
      <c r="AA12" s="11"/>
    </row>
    <row r="13" spans="1:32" ht="18" x14ac:dyDescent="0.35">
      <c r="AC13" s="11" t="s">
        <v>79</v>
      </c>
    </row>
    <row r="14" spans="1:32" x14ac:dyDescent="0.3">
      <c r="Z14" s="9" t="s">
        <v>53</v>
      </c>
      <c r="AA14" t="s">
        <v>57</v>
      </c>
      <c r="AC14" t="s">
        <v>80</v>
      </c>
      <c r="AD14" t="s">
        <v>81</v>
      </c>
      <c r="AE14" t="s">
        <v>82</v>
      </c>
      <c r="AF14" t="s">
        <v>83</v>
      </c>
    </row>
    <row r="15" spans="1:32" x14ac:dyDescent="0.3">
      <c r="Z15" s="10" t="s">
        <v>63</v>
      </c>
      <c r="AA15">
        <v>57800</v>
      </c>
      <c r="AC15">
        <v>20</v>
      </c>
      <c r="AD15">
        <v>20000</v>
      </c>
      <c r="AE15">
        <v>-1</v>
      </c>
      <c r="AF15">
        <v>-1</v>
      </c>
    </row>
    <row r="16" spans="1:32" x14ac:dyDescent="0.3">
      <c r="Z16" s="10" t="s">
        <v>64</v>
      </c>
      <c r="AA16">
        <v>56550</v>
      </c>
    </row>
    <row r="17" spans="1:31" ht="18" x14ac:dyDescent="0.35">
      <c r="Z17" s="10" t="s">
        <v>65</v>
      </c>
      <c r="AA17">
        <v>4200</v>
      </c>
      <c r="AC17" s="11" t="s">
        <v>84</v>
      </c>
      <c r="AD17" s="11"/>
    </row>
    <row r="18" spans="1:31" x14ac:dyDescent="0.3">
      <c r="Z18" s="10" t="s">
        <v>54</v>
      </c>
      <c r="AA18">
        <v>118550</v>
      </c>
      <c r="AC18" t="s">
        <v>85</v>
      </c>
      <c r="AD18" t="s">
        <v>86</v>
      </c>
      <c r="AE18" t="s">
        <v>83</v>
      </c>
    </row>
    <row r="19" spans="1:31" x14ac:dyDescent="0.3">
      <c r="AC19">
        <v>69</v>
      </c>
      <c r="AD19">
        <v>5000</v>
      </c>
      <c r="AE19">
        <v>-1</v>
      </c>
    </row>
    <row r="22" spans="1:31" ht="18" x14ac:dyDescent="0.35">
      <c r="Z22" s="11" t="s">
        <v>69</v>
      </c>
      <c r="AA22" s="11"/>
    </row>
    <row r="24" spans="1:31" x14ac:dyDescent="0.3">
      <c r="Z24" s="9" t="s">
        <v>53</v>
      </c>
      <c r="AA24" t="s">
        <v>55</v>
      </c>
    </row>
    <row r="25" spans="1:31" x14ac:dyDescent="0.3">
      <c r="Z25" s="10" t="s">
        <v>31</v>
      </c>
      <c r="AA25">
        <v>42500</v>
      </c>
    </row>
    <row r="26" spans="1:31" x14ac:dyDescent="0.3">
      <c r="Z26" s="10" t="s">
        <v>33</v>
      </c>
      <c r="AA26">
        <v>41500</v>
      </c>
    </row>
    <row r="27" spans="1:31" x14ac:dyDescent="0.3">
      <c r="Z27" s="10" t="s">
        <v>14</v>
      </c>
      <c r="AA27">
        <v>313000</v>
      </c>
    </row>
    <row r="28" spans="1:31" x14ac:dyDescent="0.3">
      <c r="Z28" s="10" t="s">
        <v>27</v>
      </c>
      <c r="AA28">
        <v>57000</v>
      </c>
    </row>
    <row r="29" spans="1:31" x14ac:dyDescent="0.3">
      <c r="Z29" s="10" t="s">
        <v>38</v>
      </c>
      <c r="AA29">
        <v>46000</v>
      </c>
    </row>
    <row r="30" spans="1:31" ht="18" x14ac:dyDescent="0.35">
      <c r="A30" s="7" t="s">
        <v>59</v>
      </c>
      <c r="I30" s="11" t="s">
        <v>61</v>
      </c>
      <c r="J30" s="11"/>
      <c r="R30" s="11" t="s">
        <v>66</v>
      </c>
      <c r="S30" s="11"/>
      <c r="Z30" s="10" t="s">
        <v>54</v>
      </c>
      <c r="AA30">
        <v>500000</v>
      </c>
    </row>
    <row r="32" spans="1:31" x14ac:dyDescent="0.3">
      <c r="I32" s="9" t="s">
        <v>53</v>
      </c>
      <c r="J32" t="s">
        <v>60</v>
      </c>
      <c r="R32" s="9" t="s">
        <v>53</v>
      </c>
      <c r="S32" t="s">
        <v>57</v>
      </c>
    </row>
    <row r="33" spans="1:27" x14ac:dyDescent="0.3">
      <c r="A33" s="9" t="s">
        <v>53</v>
      </c>
      <c r="B33" t="s">
        <v>60</v>
      </c>
      <c r="I33" s="10" t="s">
        <v>31</v>
      </c>
      <c r="J33" s="12">
        <v>51.666666666666671</v>
      </c>
      <c r="R33" s="10" t="s">
        <v>63</v>
      </c>
      <c r="S33">
        <v>57800</v>
      </c>
    </row>
    <row r="34" spans="1:27" x14ac:dyDescent="0.3">
      <c r="A34" s="10" t="s">
        <v>15</v>
      </c>
      <c r="B34" s="12">
        <v>343.19245569245572</v>
      </c>
      <c r="I34" s="10" t="s">
        <v>33</v>
      </c>
      <c r="J34" s="12">
        <v>50.490196078431367</v>
      </c>
      <c r="R34" s="10" t="s">
        <v>64</v>
      </c>
      <c r="S34">
        <v>56550</v>
      </c>
    </row>
    <row r="35" spans="1:27" x14ac:dyDescent="0.3">
      <c r="A35" s="10" t="s">
        <v>32</v>
      </c>
      <c r="B35" s="12">
        <v>155.01400560224087</v>
      </c>
      <c r="I35" s="10" t="s">
        <v>44</v>
      </c>
      <c r="J35" s="12">
        <v>59.166666666666671</v>
      </c>
      <c r="R35" s="10" t="s">
        <v>65</v>
      </c>
      <c r="S35">
        <v>4200</v>
      </c>
    </row>
    <row r="36" spans="1:27" x14ac:dyDescent="0.3">
      <c r="A36" s="10" t="s">
        <v>54</v>
      </c>
      <c r="B36" s="12">
        <v>498.20646129469674</v>
      </c>
      <c r="I36" s="10" t="s">
        <v>23</v>
      </c>
      <c r="J36" s="12">
        <v>65.476190476190482</v>
      </c>
      <c r="R36" s="10" t="s">
        <v>54</v>
      </c>
      <c r="S36">
        <v>118550</v>
      </c>
    </row>
    <row r="37" spans="1:27" ht="18" x14ac:dyDescent="0.35">
      <c r="I37" s="10" t="s">
        <v>14</v>
      </c>
      <c r="J37" s="12">
        <v>62.488992488992487</v>
      </c>
      <c r="Z37" s="11" t="s">
        <v>70</v>
      </c>
      <c r="AA37" s="11"/>
    </row>
    <row r="38" spans="1:27" x14ac:dyDescent="0.3">
      <c r="I38" s="10" t="s">
        <v>27</v>
      </c>
      <c r="J38" s="12">
        <v>47.727272727272727</v>
      </c>
    </row>
    <row r="39" spans="1:27" x14ac:dyDescent="0.3">
      <c r="I39" s="10" t="s">
        <v>19</v>
      </c>
      <c r="J39" s="12">
        <v>60</v>
      </c>
      <c r="Z39" s="9" t="s">
        <v>53</v>
      </c>
      <c r="AA39" t="s">
        <v>55</v>
      </c>
    </row>
    <row r="40" spans="1:27" x14ac:dyDescent="0.3">
      <c r="I40" s="10" t="s">
        <v>38</v>
      </c>
      <c r="J40" s="12">
        <v>48.333333333333329</v>
      </c>
      <c r="Z40" s="10" t="s">
        <v>30</v>
      </c>
      <c r="AA40">
        <v>53000</v>
      </c>
    </row>
    <row r="41" spans="1:27" x14ac:dyDescent="0.3">
      <c r="I41" s="10" t="s">
        <v>41</v>
      </c>
      <c r="J41" s="12">
        <v>52.857142857142861</v>
      </c>
      <c r="Z41" s="10" t="s">
        <v>47</v>
      </c>
      <c r="AA41">
        <v>104000</v>
      </c>
    </row>
    <row r="42" spans="1:27" x14ac:dyDescent="0.3">
      <c r="I42" s="10" t="s">
        <v>54</v>
      </c>
      <c r="J42" s="12">
        <v>498.20646129469674</v>
      </c>
      <c r="Z42" s="10" t="s">
        <v>35</v>
      </c>
      <c r="AA42">
        <v>60600</v>
      </c>
    </row>
    <row r="43" spans="1:27" x14ac:dyDescent="0.3">
      <c r="Z43" s="10" t="s">
        <v>13</v>
      </c>
      <c r="AA43">
        <v>116000</v>
      </c>
    </row>
    <row r="44" spans="1:27" x14ac:dyDescent="0.3">
      <c r="Z44" s="10" t="s">
        <v>43</v>
      </c>
      <c r="AA44">
        <v>66000</v>
      </c>
    </row>
    <row r="45" spans="1:27" x14ac:dyDescent="0.3">
      <c r="Z45" s="10" t="s">
        <v>54</v>
      </c>
      <c r="AA45">
        <v>399600</v>
      </c>
    </row>
  </sheetData>
  <conditionalFormatting pivot="1" sqref="AE7">
    <cfRule type="iconSet" priority="4">
      <iconSet showValue="0">
        <cfvo type="num" val="-1"/>
        <cfvo type="num" val="-0.5"/>
        <cfvo type="num" val="0.5"/>
      </iconSet>
    </cfRule>
  </conditionalFormatting>
  <conditionalFormatting pivot="1" sqref="AE11">
    <cfRule type="iconSet" priority="3">
      <iconSet iconSet="3TrafficLights2" showValue="0">
        <cfvo type="num" val="-1"/>
        <cfvo type="num" val="-0.5"/>
        <cfvo type="num" val="0.5"/>
      </iconSet>
    </cfRule>
  </conditionalFormatting>
  <conditionalFormatting pivot="1" sqref="AE15">
    <cfRule type="iconSet" priority="2">
      <iconSet iconSet="3TrafficLights2" showValue="0">
        <cfvo type="num" val="-1"/>
        <cfvo type="num" val="-0.5"/>
        <cfvo type="num" val="0.5"/>
      </iconSet>
    </cfRule>
  </conditionalFormatting>
  <conditionalFormatting pivot="1" sqref="AE19">
    <cfRule type="iconSet" priority="1">
      <iconSet iconSet="3TrafficLights2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B4BE-6769-4485-B33E-B0198EF82A24}">
  <dimension ref="A1:T21"/>
  <sheetViews>
    <sheetView tabSelected="1" workbookViewId="0">
      <selection activeCell="P16" sqref="P16"/>
    </sheetView>
  </sheetViews>
  <sheetFormatPr defaultRowHeight="14.4" x14ac:dyDescent="0.3"/>
  <cols>
    <col min="1" max="1" width="6.21875" bestFit="1" customWidth="1"/>
    <col min="2" max="2" width="14.109375" bestFit="1" customWidth="1"/>
    <col min="3" max="3" width="13" bestFit="1" customWidth="1"/>
    <col min="4" max="4" width="15.33203125" bestFit="1" customWidth="1"/>
    <col min="5" max="5" width="18.6640625" bestFit="1" customWidth="1"/>
    <col min="6" max="6" width="12.109375" bestFit="1" customWidth="1"/>
    <col min="7" max="7" width="13" bestFit="1" customWidth="1"/>
    <col min="8" max="8" width="11.21875" bestFit="1" customWidth="1"/>
    <col min="9" max="9" width="4" bestFit="1" customWidth="1"/>
    <col min="10" max="10" width="6" bestFit="1" customWidth="1"/>
    <col min="11" max="11" width="7.88671875" bestFit="1" customWidth="1"/>
    <col min="12" max="12" width="6" bestFit="1" customWidth="1"/>
    <col min="16" max="16" width="14.21875" customWidth="1"/>
    <col min="17" max="17" width="46" bestFit="1" customWidth="1"/>
  </cols>
  <sheetData>
    <row r="1" spans="1:20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20" ht="28.8" x14ac:dyDescent="0.3">
      <c r="A2" s="1">
        <v>1001</v>
      </c>
      <c r="B2" s="4">
        <v>46023</v>
      </c>
      <c r="C2" s="4">
        <v>46025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1">
        <v>2</v>
      </c>
      <c r="J2" s="1">
        <v>50000</v>
      </c>
      <c r="K2" s="1">
        <v>100000</v>
      </c>
      <c r="L2" s="1">
        <v>15000</v>
      </c>
    </row>
    <row r="3" spans="1:20" ht="28.8" x14ac:dyDescent="0.3">
      <c r="A3" s="1">
        <v>1002</v>
      </c>
      <c r="B3" s="4">
        <v>46025</v>
      </c>
      <c r="C3" s="4">
        <v>46027</v>
      </c>
      <c r="D3" s="5" t="s">
        <v>17</v>
      </c>
      <c r="E3" s="5" t="s">
        <v>18</v>
      </c>
      <c r="F3" s="5" t="s">
        <v>19</v>
      </c>
      <c r="G3" s="5" t="s">
        <v>15</v>
      </c>
      <c r="H3" s="5" t="s">
        <v>20</v>
      </c>
      <c r="I3" s="1">
        <v>5</v>
      </c>
      <c r="J3" s="1">
        <v>800</v>
      </c>
      <c r="K3" s="1">
        <v>4000</v>
      </c>
      <c r="L3" s="1">
        <v>1200</v>
      </c>
    </row>
    <row r="4" spans="1:20" ht="28.8" x14ac:dyDescent="0.3">
      <c r="A4" s="1">
        <v>1003</v>
      </c>
      <c r="B4" s="4">
        <v>46027</v>
      </c>
      <c r="C4" s="4">
        <v>46030</v>
      </c>
      <c r="D4" s="5" t="s">
        <v>21</v>
      </c>
      <c r="E4" s="5" t="s">
        <v>22</v>
      </c>
      <c r="F4" s="5" t="s">
        <v>23</v>
      </c>
      <c r="G4" s="5" t="s">
        <v>15</v>
      </c>
      <c r="H4" s="5" t="s">
        <v>24</v>
      </c>
      <c r="I4" s="1">
        <v>3</v>
      </c>
      <c r="J4" s="1">
        <v>1500</v>
      </c>
      <c r="K4" s="1">
        <v>4500</v>
      </c>
      <c r="L4" s="1">
        <v>1500</v>
      </c>
    </row>
    <row r="5" spans="1:20" ht="28.8" x14ac:dyDescent="0.3">
      <c r="A5" s="1">
        <v>1004</v>
      </c>
      <c r="B5" s="4">
        <v>46030</v>
      </c>
      <c r="C5" s="4">
        <v>46032</v>
      </c>
      <c r="D5" s="5" t="s">
        <v>25</v>
      </c>
      <c r="E5" s="5" t="s">
        <v>26</v>
      </c>
      <c r="F5" s="5" t="s">
        <v>27</v>
      </c>
      <c r="G5" s="5" t="s">
        <v>15</v>
      </c>
      <c r="H5" s="5" t="s">
        <v>28</v>
      </c>
      <c r="I5" s="1">
        <v>2</v>
      </c>
      <c r="J5" s="1">
        <v>12000</v>
      </c>
      <c r="K5" s="1">
        <v>24000</v>
      </c>
      <c r="L5" s="1">
        <v>6000</v>
      </c>
    </row>
    <row r="6" spans="1:20" x14ac:dyDescent="0.3">
      <c r="A6" s="1">
        <v>1005</v>
      </c>
      <c r="B6" s="4">
        <v>46034</v>
      </c>
      <c r="C6" s="4">
        <v>46036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16</v>
      </c>
      <c r="I6" s="1">
        <v>4</v>
      </c>
      <c r="J6" s="1">
        <v>5000</v>
      </c>
      <c r="K6" s="1">
        <v>20000</v>
      </c>
      <c r="L6" s="1">
        <v>5000</v>
      </c>
    </row>
    <row r="7" spans="1:20" x14ac:dyDescent="0.3">
      <c r="A7" s="1">
        <v>1006</v>
      </c>
      <c r="B7" s="4">
        <v>46037</v>
      </c>
      <c r="C7" s="4">
        <v>46039</v>
      </c>
      <c r="D7" s="5" t="s">
        <v>12</v>
      </c>
      <c r="E7" s="5" t="s">
        <v>13</v>
      </c>
      <c r="F7" s="5" t="s">
        <v>33</v>
      </c>
      <c r="G7" s="5" t="s">
        <v>32</v>
      </c>
      <c r="H7" s="5" t="s">
        <v>20</v>
      </c>
      <c r="I7" s="1">
        <v>2</v>
      </c>
      <c r="J7" s="1">
        <v>8000</v>
      </c>
      <c r="K7" s="1">
        <v>16000</v>
      </c>
      <c r="L7" s="1">
        <v>4000</v>
      </c>
    </row>
    <row r="8" spans="1:20" ht="21" x14ac:dyDescent="0.4">
      <c r="A8" s="1">
        <v>1007</v>
      </c>
      <c r="B8" s="4">
        <v>46040</v>
      </c>
      <c r="C8" s="4">
        <v>46042</v>
      </c>
      <c r="D8" s="5" t="s">
        <v>34</v>
      </c>
      <c r="E8" s="5" t="s">
        <v>35</v>
      </c>
      <c r="F8" s="5" t="s">
        <v>14</v>
      </c>
      <c r="G8" s="5" t="s">
        <v>15</v>
      </c>
      <c r="H8" s="5" t="s">
        <v>24</v>
      </c>
      <c r="I8" s="1">
        <v>1</v>
      </c>
      <c r="J8" s="1">
        <v>55000</v>
      </c>
      <c r="K8" s="1">
        <v>55000</v>
      </c>
      <c r="L8" s="1">
        <v>9000</v>
      </c>
      <c r="P8" s="6" t="str">
        <f>_xlfn.XLOOKUP(MAX(Table1[Profit]),Table1[Profit],Table1[Product])</f>
        <v>Laptop</v>
      </c>
      <c r="Q8" s="6" t="s">
        <v>48</v>
      </c>
      <c r="R8" s="6"/>
      <c r="S8" s="6"/>
      <c r="T8" s="6"/>
    </row>
    <row r="9" spans="1:20" ht="18" x14ac:dyDescent="0.35">
      <c r="A9" s="1">
        <v>1008</v>
      </c>
      <c r="B9" s="4">
        <v>46042</v>
      </c>
      <c r="C9" s="4">
        <v>46044</v>
      </c>
      <c r="D9" s="5" t="s">
        <v>36</v>
      </c>
      <c r="E9" s="5" t="s">
        <v>37</v>
      </c>
      <c r="F9" s="5" t="s">
        <v>38</v>
      </c>
      <c r="G9" s="5" t="s">
        <v>15</v>
      </c>
      <c r="H9" s="5" t="s">
        <v>28</v>
      </c>
      <c r="I9" s="1">
        <v>2</v>
      </c>
      <c r="J9" s="1">
        <v>15000</v>
      </c>
      <c r="K9" s="1">
        <v>30000</v>
      </c>
      <c r="L9" s="1">
        <v>7000</v>
      </c>
      <c r="P9" s="7" t="str">
        <f>_xlfn.XLOOKUP(MAX(Table1[Profit]),Table1[Profit],Table1[Region])</f>
        <v>North</v>
      </c>
      <c r="Q9" s="7" t="s">
        <v>49</v>
      </c>
      <c r="R9" s="7"/>
      <c r="S9" s="7"/>
      <c r="T9" s="7"/>
    </row>
    <row r="10" spans="1:20" x14ac:dyDescent="0.3">
      <c r="A10" s="1">
        <v>1009</v>
      </c>
      <c r="B10" s="4">
        <v>46047</v>
      </c>
      <c r="C10" s="4">
        <v>46049</v>
      </c>
      <c r="D10" s="5" t="s">
        <v>39</v>
      </c>
      <c r="E10" s="5" t="s">
        <v>40</v>
      </c>
      <c r="F10" s="5" t="s">
        <v>41</v>
      </c>
      <c r="G10" s="5" t="s">
        <v>32</v>
      </c>
      <c r="H10" s="5" t="s">
        <v>16</v>
      </c>
      <c r="I10" s="1">
        <v>3</v>
      </c>
      <c r="J10" s="1">
        <v>7000</v>
      </c>
      <c r="K10" s="1">
        <v>21000</v>
      </c>
      <c r="L10" s="1">
        <v>5500</v>
      </c>
    </row>
    <row r="11" spans="1:20" ht="28.8" x14ac:dyDescent="0.4">
      <c r="A11" s="1">
        <v>1010</v>
      </c>
      <c r="B11" s="4">
        <v>46050</v>
      </c>
      <c r="C11" s="4">
        <v>46052</v>
      </c>
      <c r="D11" s="5" t="s">
        <v>42</v>
      </c>
      <c r="E11" s="5" t="s">
        <v>43</v>
      </c>
      <c r="F11" s="5" t="s">
        <v>44</v>
      </c>
      <c r="G11" s="5" t="s">
        <v>15</v>
      </c>
      <c r="H11" s="5" t="s">
        <v>20</v>
      </c>
      <c r="I11" s="1">
        <v>6</v>
      </c>
      <c r="J11" s="1">
        <v>2000</v>
      </c>
      <c r="K11" s="1">
        <v>12000</v>
      </c>
      <c r="L11" s="1">
        <v>3600</v>
      </c>
      <c r="P11" s="7" t="str">
        <f>_xlfn.XLOOKUP(MAX(Table1[Price]),Table1[Price],Table1[CustomerName])</f>
        <v>Neha</v>
      </c>
      <c r="Q11" s="6" t="s">
        <v>50</v>
      </c>
    </row>
    <row r="12" spans="1:20" x14ac:dyDescent="0.3">
      <c r="A12" s="1">
        <v>1011</v>
      </c>
      <c r="B12" s="4">
        <v>46055</v>
      </c>
      <c r="C12" s="4">
        <v>46057</v>
      </c>
      <c r="D12" s="5" t="s">
        <v>17</v>
      </c>
      <c r="E12" s="5" t="s">
        <v>47</v>
      </c>
      <c r="F12" s="5" t="s">
        <v>14</v>
      </c>
      <c r="G12" s="5" t="s">
        <v>15</v>
      </c>
      <c r="H12" s="5" t="s">
        <v>24</v>
      </c>
      <c r="I12" s="1">
        <v>2</v>
      </c>
      <c r="J12" s="1">
        <v>52000</v>
      </c>
      <c r="K12" s="1">
        <v>104000</v>
      </c>
      <c r="L12" s="1">
        <v>16000</v>
      </c>
    </row>
    <row r="13" spans="1:20" ht="21" x14ac:dyDescent="0.4">
      <c r="A13" s="1">
        <v>1012</v>
      </c>
      <c r="B13" s="4">
        <v>46058</v>
      </c>
      <c r="C13" s="4">
        <v>46060</v>
      </c>
      <c r="D13" s="5" t="s">
        <v>21</v>
      </c>
      <c r="E13" s="5" t="s">
        <v>22</v>
      </c>
      <c r="F13" s="5" t="s">
        <v>19</v>
      </c>
      <c r="G13" s="5" t="s">
        <v>15</v>
      </c>
      <c r="H13" s="5" t="s">
        <v>28</v>
      </c>
      <c r="I13" s="1">
        <v>10</v>
      </c>
      <c r="J13" s="1">
        <v>750</v>
      </c>
      <c r="K13" s="1">
        <v>7500</v>
      </c>
      <c r="L13" s="1">
        <v>2250</v>
      </c>
      <c r="P13" s="8" t="str">
        <f>_xlfn.XLOOKUP(MAX(Table1[Profit]),Table1[Profit],Table1[CustomerName])</f>
        <v>MR AD</v>
      </c>
      <c r="Q13" s="6" t="s">
        <v>51</v>
      </c>
    </row>
    <row r="14" spans="1:20" x14ac:dyDescent="0.3">
      <c r="A14" s="1">
        <v>1013</v>
      </c>
      <c r="B14" s="4">
        <v>46061</v>
      </c>
      <c r="C14" s="4">
        <v>46063</v>
      </c>
      <c r="D14" s="5" t="s">
        <v>45</v>
      </c>
      <c r="E14" s="5" t="s">
        <v>46</v>
      </c>
      <c r="F14" s="5" t="s">
        <v>33</v>
      </c>
      <c r="G14" s="5" t="s">
        <v>32</v>
      </c>
      <c r="H14" s="5" t="s">
        <v>16</v>
      </c>
      <c r="I14" s="1">
        <v>3</v>
      </c>
      <c r="J14" s="1">
        <v>8500</v>
      </c>
      <c r="K14" s="1">
        <v>25500</v>
      </c>
      <c r="L14" s="1">
        <v>6500</v>
      </c>
    </row>
    <row r="15" spans="1:20" ht="21" x14ac:dyDescent="0.4">
      <c r="A15" s="1">
        <v>1014</v>
      </c>
      <c r="B15" s="4">
        <v>46065</v>
      </c>
      <c r="C15" s="4">
        <v>46067</v>
      </c>
      <c r="D15" s="5" t="s">
        <v>25</v>
      </c>
      <c r="E15" s="5" t="s">
        <v>26</v>
      </c>
      <c r="F15" s="5" t="s">
        <v>31</v>
      </c>
      <c r="G15" s="5" t="s">
        <v>32</v>
      </c>
      <c r="H15" s="5" t="s">
        <v>20</v>
      </c>
      <c r="I15" s="1">
        <v>5</v>
      </c>
      <c r="J15" s="1">
        <v>4500</v>
      </c>
      <c r="K15" s="1">
        <v>22500</v>
      </c>
      <c r="L15" s="1">
        <v>6000</v>
      </c>
      <c r="P15" s="7" t="str">
        <f>_xlfn.XLOOKUP(MAX(Table1[Qty]),Table1[Qty],Table1[Product])</f>
        <v>Mouse</v>
      </c>
      <c r="Q15" s="6" t="s">
        <v>52</v>
      </c>
    </row>
    <row r="16" spans="1:20" ht="28.8" x14ac:dyDescent="0.3">
      <c r="A16" s="1">
        <v>1015</v>
      </c>
      <c r="B16" s="4">
        <v>46068</v>
      </c>
      <c r="C16" s="4">
        <v>46070</v>
      </c>
      <c r="D16" s="5" t="s">
        <v>29</v>
      </c>
      <c r="E16" s="5" t="s">
        <v>30</v>
      </c>
      <c r="F16" s="5" t="s">
        <v>27</v>
      </c>
      <c r="G16" s="5" t="s">
        <v>15</v>
      </c>
      <c r="H16" s="5" t="s">
        <v>24</v>
      </c>
      <c r="I16" s="1">
        <v>3</v>
      </c>
      <c r="J16" s="1">
        <v>11000</v>
      </c>
      <c r="K16" s="1">
        <v>33000</v>
      </c>
      <c r="L16" s="1">
        <v>7500</v>
      </c>
    </row>
    <row r="17" spans="1:12" ht="28.8" x14ac:dyDescent="0.3">
      <c r="A17" s="1">
        <v>1016</v>
      </c>
      <c r="B17" s="4">
        <v>46071</v>
      </c>
      <c r="C17" s="4">
        <v>46073</v>
      </c>
      <c r="D17" s="5" t="s">
        <v>34</v>
      </c>
      <c r="E17" s="5" t="s">
        <v>35</v>
      </c>
      <c r="F17" s="5" t="s">
        <v>23</v>
      </c>
      <c r="G17" s="5" t="s">
        <v>15</v>
      </c>
      <c r="H17" s="5" t="s">
        <v>28</v>
      </c>
      <c r="I17" s="1">
        <v>4</v>
      </c>
      <c r="J17" s="1">
        <v>1400</v>
      </c>
      <c r="K17" s="1">
        <v>5600</v>
      </c>
      <c r="L17" s="1">
        <v>1800</v>
      </c>
    </row>
    <row r="18" spans="1:12" x14ac:dyDescent="0.3">
      <c r="A18" s="1">
        <v>1017</v>
      </c>
      <c r="B18" s="4">
        <v>46074</v>
      </c>
      <c r="C18" s="4">
        <v>46076</v>
      </c>
      <c r="D18" s="5" t="s">
        <v>36</v>
      </c>
      <c r="E18" s="5" t="s">
        <v>37</v>
      </c>
      <c r="F18" s="5" t="s">
        <v>38</v>
      </c>
      <c r="G18" s="5" t="s">
        <v>15</v>
      </c>
      <c r="H18" s="5" t="s">
        <v>16</v>
      </c>
      <c r="I18" s="1">
        <v>1</v>
      </c>
      <c r="J18" s="1">
        <v>16000</v>
      </c>
      <c r="K18" s="1">
        <v>16000</v>
      </c>
      <c r="L18" s="1">
        <v>4000</v>
      </c>
    </row>
    <row r="19" spans="1:12" x14ac:dyDescent="0.3">
      <c r="A19" s="1">
        <v>1018</v>
      </c>
      <c r="B19" s="4">
        <v>46077</v>
      </c>
      <c r="C19" s="4">
        <v>46079</v>
      </c>
      <c r="D19" s="5" t="s">
        <v>39</v>
      </c>
      <c r="E19" s="5" t="s">
        <v>40</v>
      </c>
      <c r="F19" s="5" t="s">
        <v>41</v>
      </c>
      <c r="G19" s="5" t="s">
        <v>32</v>
      </c>
      <c r="H19" s="5" t="s">
        <v>20</v>
      </c>
      <c r="I19" s="1">
        <v>2</v>
      </c>
      <c r="J19" s="1">
        <v>7500</v>
      </c>
      <c r="K19" s="1">
        <v>15000</v>
      </c>
      <c r="L19" s="1">
        <v>4000</v>
      </c>
    </row>
    <row r="20" spans="1:12" x14ac:dyDescent="0.3">
      <c r="A20" s="1">
        <v>1019</v>
      </c>
      <c r="B20" s="4">
        <v>46080</v>
      </c>
      <c r="C20" s="4">
        <v>46082</v>
      </c>
      <c r="D20" s="5" t="s">
        <v>42</v>
      </c>
      <c r="E20" s="5" t="s">
        <v>43</v>
      </c>
      <c r="F20" s="5" t="s">
        <v>14</v>
      </c>
      <c r="G20" s="5" t="s">
        <v>15</v>
      </c>
      <c r="H20" s="5" t="s">
        <v>24</v>
      </c>
      <c r="I20" s="1">
        <v>1</v>
      </c>
      <c r="J20" s="1">
        <v>54000</v>
      </c>
      <c r="K20" s="1">
        <v>54000</v>
      </c>
      <c r="L20" s="1">
        <v>8500</v>
      </c>
    </row>
    <row r="21" spans="1:12" x14ac:dyDescent="0.3">
      <c r="A21" s="1">
        <v>1020</v>
      </c>
      <c r="B21" s="4">
        <v>46083</v>
      </c>
      <c r="C21" s="4">
        <v>46085</v>
      </c>
      <c r="D21" s="5" t="s">
        <v>45</v>
      </c>
      <c r="E21" s="5" t="s">
        <v>46</v>
      </c>
      <c r="F21" s="5" t="s">
        <v>44</v>
      </c>
      <c r="G21" s="5" t="s">
        <v>15</v>
      </c>
      <c r="H21" s="5" t="s">
        <v>28</v>
      </c>
      <c r="I21" s="1">
        <v>8</v>
      </c>
      <c r="J21" s="1">
        <v>1800</v>
      </c>
      <c r="K21" s="1">
        <v>14400</v>
      </c>
      <c r="L21" s="1">
        <v>4200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AF157503-DC43-480E-922A-27BEEA782987}">
  <ds:schemaRefs/>
</ds:datastoreItem>
</file>

<file path=customXml/itemProps2.xml><?xml version="1.0" encoding="utf-8"?>
<ds:datastoreItem xmlns:ds="http://schemas.openxmlformats.org/officeDocument/2006/customXml" ds:itemID="{77C3681E-72D2-4B85-B130-EACD3BC7A668}">
  <ds:schemaRefs/>
</ds:datastoreItem>
</file>

<file path=customXml/itemProps3.xml><?xml version="1.0" encoding="utf-8"?>
<ds:datastoreItem xmlns:ds="http://schemas.openxmlformats.org/officeDocument/2006/customXml" ds:itemID="{108474C1-B077-4E8C-9DA3-9A643C5A83F9}">
  <ds:schemaRefs/>
</ds:datastoreItem>
</file>

<file path=customXml/itemProps4.xml><?xml version="1.0" encoding="utf-8"?>
<ds:datastoreItem xmlns:ds="http://schemas.openxmlformats.org/officeDocument/2006/customXml" ds:itemID="{0DA54613-FDD5-42D4-9892-B762D0221345}">
  <ds:schemaRefs/>
</ds:datastoreItem>
</file>

<file path=customXml/itemProps5.xml><?xml version="1.0" encoding="utf-8"?>
<ds:datastoreItem xmlns:ds="http://schemas.openxmlformats.org/officeDocument/2006/customXml" ds:itemID="{01C7A0F9-4899-4325-A15C-0D54719FA1D1}">
  <ds:schemaRefs/>
</ds:datastoreItem>
</file>

<file path=customXml/itemProps6.xml><?xml version="1.0" encoding="utf-8"?>
<ds:datastoreItem xmlns:ds="http://schemas.openxmlformats.org/officeDocument/2006/customXml" ds:itemID="{E6DB037A-3621-489D-A001-36D40C0751DE}">
  <ds:schemaRefs/>
</ds:datastoreItem>
</file>

<file path=customXml/itemProps7.xml><?xml version="1.0" encoding="utf-8"?>
<ds:datastoreItem xmlns:ds="http://schemas.openxmlformats.org/officeDocument/2006/customXml" ds:itemID="{1AFB07D8-4FB3-4113-9932-8162EA18FBFF}">
  <ds:schemaRefs/>
</ds:datastoreItem>
</file>

<file path=customXml/itemProps8.xml><?xml version="1.0" encoding="utf-8"?>
<ds:datastoreItem xmlns:ds="http://schemas.openxmlformats.org/officeDocument/2006/customXml" ds:itemID="{F6E4C07A-FB53-4CA4-93A1-495C91469CB7}">
  <ds:schemaRefs/>
</ds:datastoreItem>
</file>

<file path=customXml/itemProps9.xml><?xml version="1.0" encoding="utf-8"?>
<ds:datastoreItem xmlns:ds="http://schemas.openxmlformats.org/officeDocument/2006/customXml" ds:itemID="{F02C1304-162F-407D-A450-8D9DFDD74360}">
  <ds:schemaRefs/>
</ds:datastoreItem>
</file>

<file path=customXml/itemProps10.xml><?xml version="1.0" encoding="utf-8"?>
<ds:datastoreItem xmlns:ds="http://schemas.openxmlformats.org/officeDocument/2006/customXml" ds:itemID="{F84B01F9-9C95-4B48-A9B3-1896E5A3D294}">
  <ds:schemaRefs/>
</ds:datastoreItem>
</file>

<file path=customXml/itemProps11.xml><?xml version="1.0" encoding="utf-8"?>
<ds:datastoreItem xmlns:ds="http://schemas.openxmlformats.org/officeDocument/2006/customXml" ds:itemID="{7BD67AFC-AC28-4F18-93F7-F425B43896E4}">
  <ds:schemaRefs/>
</ds:datastoreItem>
</file>

<file path=customXml/itemProps12.xml><?xml version="1.0" encoding="utf-8"?>
<ds:datastoreItem xmlns:ds="http://schemas.openxmlformats.org/officeDocument/2006/customXml" ds:itemID="{A317C84E-90A9-4A33-975C-AE06741BD5D7}">
  <ds:schemaRefs/>
</ds:datastoreItem>
</file>

<file path=customXml/itemProps13.xml><?xml version="1.0" encoding="utf-8"?>
<ds:datastoreItem xmlns:ds="http://schemas.openxmlformats.org/officeDocument/2006/customXml" ds:itemID="{0D5FE038-6BDE-4BD7-A53B-A63EC13F18FF}">
  <ds:schemaRefs/>
</ds:datastoreItem>
</file>

<file path=customXml/itemProps14.xml><?xml version="1.0" encoding="utf-8"?>
<ds:datastoreItem xmlns:ds="http://schemas.openxmlformats.org/officeDocument/2006/customXml" ds:itemID="{94779852-F39D-4253-9946-A21286760E0E}">
  <ds:schemaRefs/>
</ds:datastoreItem>
</file>

<file path=customXml/itemProps15.xml><?xml version="1.0" encoding="utf-8"?>
<ds:datastoreItem xmlns:ds="http://schemas.openxmlformats.org/officeDocument/2006/customXml" ds:itemID="{E92747B2-8909-4922-8117-58917EF9C08F}">
  <ds:schemaRefs/>
</ds:datastoreItem>
</file>

<file path=customXml/itemProps16.xml><?xml version="1.0" encoding="utf-8"?>
<ds:datastoreItem xmlns:ds="http://schemas.openxmlformats.org/officeDocument/2006/customXml" ds:itemID="{6D9E82EE-ABA9-4D34-BDF0-122CC6BE949B}">
  <ds:schemaRefs/>
</ds:datastoreItem>
</file>

<file path=customXml/itemProps17.xml><?xml version="1.0" encoding="utf-8"?>
<ds:datastoreItem xmlns:ds="http://schemas.openxmlformats.org/officeDocument/2006/customXml" ds:itemID="{E1A13E92-17ED-47F1-A101-CB03D275F86D}">
  <ds:schemaRefs/>
</ds:datastoreItem>
</file>

<file path=customXml/itemProps18.xml><?xml version="1.0" encoding="utf-8"?>
<ds:datastoreItem xmlns:ds="http://schemas.openxmlformats.org/officeDocument/2006/customXml" ds:itemID="{5C4449BA-6BBA-441D-9809-7E16651BAD6C}">
  <ds:schemaRefs/>
</ds:datastoreItem>
</file>

<file path=customXml/itemProps19.xml><?xml version="1.0" encoding="utf-8"?>
<ds:datastoreItem xmlns:ds="http://schemas.openxmlformats.org/officeDocument/2006/customXml" ds:itemID="{70884CF5-313F-4F9C-87E5-7612FBACF0C4}">
  <ds:schemaRefs/>
</ds:datastoreItem>
</file>

<file path=customXml/itemProps20.xml><?xml version="1.0" encoding="utf-8"?>
<ds:datastoreItem xmlns:ds="http://schemas.openxmlformats.org/officeDocument/2006/customXml" ds:itemID="{28C1AFF5-6157-4958-8FEB-374ECDFC55F5}">
  <ds:schemaRefs/>
</ds:datastoreItem>
</file>

<file path=customXml/itemProps21.xml><?xml version="1.0" encoding="utf-8"?>
<ds:datastoreItem xmlns:ds="http://schemas.openxmlformats.org/officeDocument/2006/customXml" ds:itemID="{B7BBDBC9-FA63-4DC2-8232-E5F00A49C81E}">
  <ds:schemaRefs/>
</ds:datastoreItem>
</file>

<file path=customXml/itemProps22.xml><?xml version="1.0" encoding="utf-8"?>
<ds:datastoreItem xmlns:ds="http://schemas.openxmlformats.org/officeDocument/2006/customXml" ds:itemID="{199A57A3-151C-4D94-8288-1F59D3DD49D7}">
  <ds:schemaRefs/>
</ds:datastoreItem>
</file>

<file path=customXml/itemProps23.xml><?xml version="1.0" encoding="utf-8"?>
<ds:datastoreItem xmlns:ds="http://schemas.openxmlformats.org/officeDocument/2006/customXml" ds:itemID="{EC40A324-D106-48CD-9125-08FBFD835664}">
  <ds:schemaRefs/>
</ds:datastoreItem>
</file>

<file path=customXml/itemProps24.xml><?xml version="1.0" encoding="utf-8"?>
<ds:datastoreItem xmlns:ds="http://schemas.openxmlformats.org/officeDocument/2006/customXml" ds:itemID="{D15A928D-5AAC-496D-8E0B-B458D62E76EE}">
  <ds:schemaRefs/>
</ds:datastoreItem>
</file>

<file path=customXml/itemProps25.xml><?xml version="1.0" encoding="utf-8"?>
<ds:datastoreItem xmlns:ds="http://schemas.openxmlformats.org/officeDocument/2006/customXml" ds:itemID="{86D6440D-52F5-4FE8-A3B0-CA706584525C}">
  <ds:schemaRefs/>
</ds:datastoreItem>
</file>

<file path=customXml/itemProps26.xml><?xml version="1.0" encoding="utf-8"?>
<ds:datastoreItem xmlns:ds="http://schemas.openxmlformats.org/officeDocument/2006/customXml" ds:itemID="{D92A3552-64EF-4784-85F5-AB4E25F58B3C}">
  <ds:schemaRefs/>
</ds:datastoreItem>
</file>

<file path=customXml/itemProps27.xml><?xml version="1.0" encoding="utf-8"?>
<ds:datastoreItem xmlns:ds="http://schemas.openxmlformats.org/officeDocument/2006/customXml" ds:itemID="{3CFDFAAA-1FE7-4EA3-8F23-11A057E1EBD3}">
  <ds:schemaRefs/>
</ds:datastoreItem>
</file>

<file path=customXml/itemProps28.xml><?xml version="1.0" encoding="utf-8"?>
<ds:datastoreItem xmlns:ds="http://schemas.openxmlformats.org/officeDocument/2006/customXml" ds:itemID="{8BA18921-B12E-49ED-BEA2-C6E8A5AB46C3}">
  <ds:schemaRefs/>
</ds:datastoreItem>
</file>

<file path=customXml/itemProps29.xml><?xml version="1.0" encoding="utf-8"?>
<ds:datastoreItem xmlns:ds="http://schemas.openxmlformats.org/officeDocument/2006/customXml" ds:itemID="{5EF23E02-F8F6-445E-A421-3400F39CE603}">
  <ds:schemaRefs/>
</ds:datastoreItem>
</file>

<file path=customXml/itemProps30.xml><?xml version="1.0" encoding="utf-8"?>
<ds:datastoreItem xmlns:ds="http://schemas.openxmlformats.org/officeDocument/2006/customXml" ds:itemID="{D583AFE6-F03F-4C6C-83C6-C8D52CFC12CC}">
  <ds:schemaRefs/>
</ds:datastoreItem>
</file>

<file path=customXml/itemProps31.xml><?xml version="1.0" encoding="utf-8"?>
<ds:datastoreItem xmlns:ds="http://schemas.openxmlformats.org/officeDocument/2006/customXml" ds:itemID="{71901533-9110-49E6-85FD-4C9F0449847B}">
  <ds:schemaRefs/>
</ds:datastoreItem>
</file>

<file path=customXml/itemProps32.xml><?xml version="1.0" encoding="utf-8"?>
<ds:datastoreItem xmlns:ds="http://schemas.openxmlformats.org/officeDocument/2006/customXml" ds:itemID="{435AB28E-71E1-41D5-832B-9164D526F28C}">
  <ds:schemaRefs/>
</ds:datastoreItem>
</file>

<file path=customXml/itemProps33.xml><?xml version="1.0" encoding="utf-8"?>
<ds:datastoreItem xmlns:ds="http://schemas.openxmlformats.org/officeDocument/2006/customXml" ds:itemID="{6E2BC41B-5813-42A3-A082-1D60C3C52258}">
  <ds:schemaRefs/>
</ds:datastoreItem>
</file>

<file path=customXml/itemProps34.xml><?xml version="1.0" encoding="utf-8"?>
<ds:datastoreItem xmlns:ds="http://schemas.openxmlformats.org/officeDocument/2006/customXml" ds:itemID="{9826786E-FCF1-4F00-8390-D489366EAF5C}">
  <ds:schemaRefs>
    <ds:schemaRef ds:uri="http://schemas.microsoft.com/DataMashup"/>
  </ds:schemaRefs>
</ds:datastoreItem>
</file>

<file path=customXml/itemProps35.xml><?xml version="1.0" encoding="utf-8"?>
<ds:datastoreItem xmlns:ds="http://schemas.openxmlformats.org/officeDocument/2006/customXml" ds:itemID="{A371E44A-BCA8-49B1-AE1B-FB78A8148B94}">
  <ds:schemaRefs/>
</ds:datastoreItem>
</file>

<file path=customXml/itemProps36.xml><?xml version="1.0" encoding="utf-8"?>
<ds:datastoreItem xmlns:ds="http://schemas.openxmlformats.org/officeDocument/2006/customXml" ds:itemID="{1EA94A03-BE69-4ABC-911B-395A89EFBFB6}">
  <ds:schemaRefs/>
</ds:datastoreItem>
</file>

<file path=customXml/itemProps37.xml><?xml version="1.0" encoding="utf-8"?>
<ds:datastoreItem xmlns:ds="http://schemas.openxmlformats.org/officeDocument/2006/customXml" ds:itemID="{EB26D12C-CDF7-44C5-ACCD-7A423DD29DB6}">
  <ds:schemaRefs/>
</ds:datastoreItem>
</file>

<file path=customXml/itemProps38.xml><?xml version="1.0" encoding="utf-8"?>
<ds:datastoreItem xmlns:ds="http://schemas.openxmlformats.org/officeDocument/2006/customXml" ds:itemID="{5F0B0886-BEB8-4BC7-AEB1-171B6291AC9B}">
  <ds:schemaRefs/>
</ds:datastoreItem>
</file>

<file path=customXml/itemProps39.xml><?xml version="1.0" encoding="utf-8"?>
<ds:datastoreItem xmlns:ds="http://schemas.openxmlformats.org/officeDocument/2006/customXml" ds:itemID="{75B55C28-A47D-4F76-8179-3593E285925B}">
  <ds:schemaRefs/>
</ds:datastoreItem>
</file>

<file path=customXml/itemProps40.xml><?xml version="1.0" encoding="utf-8"?>
<ds:datastoreItem xmlns:ds="http://schemas.openxmlformats.org/officeDocument/2006/customXml" ds:itemID="{E1DED910-BCDF-40A0-9917-D262E827E991}">
  <ds:schemaRefs/>
</ds:datastoreItem>
</file>

<file path=customXml/itemProps41.xml><?xml version="1.0" encoding="utf-8"?>
<ds:datastoreItem xmlns:ds="http://schemas.openxmlformats.org/officeDocument/2006/customXml" ds:itemID="{1A5DE955-C0D7-4698-9A6F-70656B77FEAC}">
  <ds:schemaRefs/>
</ds:datastoreItem>
</file>

<file path=customXml/itemProps42.xml><?xml version="1.0" encoding="utf-8"?>
<ds:datastoreItem xmlns:ds="http://schemas.openxmlformats.org/officeDocument/2006/customXml" ds:itemID="{0750254A-D397-49C8-A1AE-745A5ECDF698}">
  <ds:schemaRefs/>
</ds:datastoreItem>
</file>

<file path=customXml/itemProps43.xml><?xml version="1.0" encoding="utf-8"?>
<ds:datastoreItem xmlns:ds="http://schemas.openxmlformats.org/officeDocument/2006/customXml" ds:itemID="{FE0032CF-2D17-4A86-9A6F-AC4557558A5A}">
  <ds:schemaRefs/>
</ds:datastoreItem>
</file>

<file path=customXml/itemProps44.xml><?xml version="1.0" encoding="utf-8"?>
<ds:datastoreItem xmlns:ds="http://schemas.openxmlformats.org/officeDocument/2006/customXml" ds:itemID="{F03A2D6F-4F31-4D5D-95D0-D0E325BB8800}">
  <ds:schemaRefs/>
</ds:datastoreItem>
</file>

<file path=customXml/itemProps45.xml><?xml version="1.0" encoding="utf-8"?>
<ds:datastoreItem xmlns:ds="http://schemas.openxmlformats.org/officeDocument/2006/customXml" ds:itemID="{442F8E12-AA38-4EBB-A504-1B399E1437EA}">
  <ds:schemaRefs/>
</ds:datastoreItem>
</file>

<file path=customXml/itemProps46.xml><?xml version="1.0" encoding="utf-8"?>
<ds:datastoreItem xmlns:ds="http://schemas.openxmlformats.org/officeDocument/2006/customXml" ds:itemID="{8D2AE00A-1421-4641-95AF-9F4F7D01496F}">
  <ds:schemaRefs/>
</ds:datastoreItem>
</file>

<file path=customXml/itemProps47.xml><?xml version="1.0" encoding="utf-8"?>
<ds:datastoreItem xmlns:ds="http://schemas.openxmlformats.org/officeDocument/2006/customXml" ds:itemID="{5ECC0062-BDEE-4A90-A692-3E5B6D219F21}">
  <ds:schemaRefs/>
</ds:datastoreItem>
</file>

<file path=customXml/itemProps48.xml><?xml version="1.0" encoding="utf-8"?>
<ds:datastoreItem xmlns:ds="http://schemas.openxmlformats.org/officeDocument/2006/customXml" ds:itemID="{9F42D349-168E-4410-A3D5-15B13A9B2B7A}">
  <ds:schemaRefs/>
</ds:datastoreItem>
</file>

<file path=customXml/itemProps49.xml><?xml version="1.0" encoding="utf-8"?>
<ds:datastoreItem xmlns:ds="http://schemas.openxmlformats.org/officeDocument/2006/customXml" ds:itemID="{6E3F6081-6926-4A4C-AB37-BB48A0C42C7C}">
  <ds:schemaRefs/>
</ds:datastoreItem>
</file>

<file path=customXml/itemProps50.xml><?xml version="1.0" encoding="utf-8"?>
<ds:datastoreItem xmlns:ds="http://schemas.openxmlformats.org/officeDocument/2006/customXml" ds:itemID="{92DC21C4-C95A-4290-BFB3-1EDE5CBFA252}">
  <ds:schemaRefs/>
</ds:datastoreItem>
</file>

<file path=customXml/itemProps51.xml><?xml version="1.0" encoding="utf-8"?>
<ds:datastoreItem xmlns:ds="http://schemas.openxmlformats.org/officeDocument/2006/customXml" ds:itemID="{765B21E4-462E-4CDF-8FE7-2DFEAD66B0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 analyze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KAMILA</dc:creator>
  <cp:lastModifiedBy>AYAN KAMILA</cp:lastModifiedBy>
  <dcterms:created xsi:type="dcterms:W3CDTF">2026-08-24T16:33:08Z</dcterms:created>
  <dcterms:modified xsi:type="dcterms:W3CDTF">2026-10-04T13:49:24Z</dcterms:modified>
</cp:coreProperties>
</file>